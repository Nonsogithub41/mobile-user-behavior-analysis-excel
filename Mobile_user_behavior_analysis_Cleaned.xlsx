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7.xml" ContentType="application/vnd.openxmlformats-officedocument.spreadsheetml.pivotTab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8.xml" ContentType="application/vnd.openxmlformats-officedocument.spreadsheetml.pivotTab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9.xml" ContentType="application/vnd.openxmlformats-officedocument.spreadsheetml.pivotTab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10.xml" ContentType="application/vnd.openxmlformats-officedocument.spreadsheetml.pivotTab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6464981195d0abd/Desktop/Mobile Device User Behaviour Project/02 Data/Prepared Data/"/>
    </mc:Choice>
  </mc:AlternateContent>
  <xr:revisionPtr revIDLastSave="406" documentId="8_{24376475-2176-4FE6-BC9C-83A23B57DCB4}" xr6:coauthVersionLast="47" xr6:coauthVersionMax="47" xr10:uidLastSave="{D3EEA256-665F-4C6A-A43B-18D656A4459E}"/>
  <bookViews>
    <workbookView xWindow="-108" yWindow="-108" windowWidth="23256" windowHeight="12456" xr2:uid="{0F6251FF-6EF4-4138-85D7-C4A407CE44AF}"/>
  </bookViews>
  <sheets>
    <sheet name="user_behavior_dataset" sheetId="1" r:id="rId1"/>
    <sheet name="Active_User" sheetId="4" r:id="rId2"/>
    <sheet name="Engagement distriubution" sheetId="5" r:id="rId3"/>
    <sheet name="Avg App Usage Time by Engagemen" sheetId="6" r:id="rId4"/>
    <sheet name="Avg Screen Time by Engagement" sheetId="7" r:id="rId5"/>
    <sheet name="Avg Data Usage by Engagement" sheetId="8" r:id="rId6"/>
    <sheet name="Avg Battery Drain " sheetId="9" r:id="rId7"/>
    <sheet name="High Data Users (Top 25%)" sheetId="10" r:id="rId8"/>
    <sheet name="High Battery Users (Top 25%)" sheetId="11" r:id="rId9"/>
    <sheet name="Engagement vs Time, Data &amp; Batt" sheetId="22" r:id="rId10"/>
    <sheet name="Engagement Level by Age Group" sheetId="23" r:id="rId11"/>
    <sheet name="Dashboards" sheetId="3" r:id="rId12"/>
  </sheets>
  <definedNames>
    <definedName name="_xlnm._FilterDatabase" localSheetId="0" hidden="1">user_behavior_dataset!$J$1:$J$705</definedName>
  </definedNames>
  <calcPr calcId="191029"/>
  <pivotCaches>
    <pivotCache cacheId="164" r:id="rId13"/>
    <pivotCache cacheId="162" r:id="rId1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1" l="1"/>
  <c r="J14" i="1"/>
  <c r="J3" i="1"/>
  <c r="J4" i="1"/>
  <c r="J5" i="1"/>
  <c r="J6" i="1"/>
  <c r="J7" i="1"/>
  <c r="J8" i="1"/>
  <c r="J9" i="1"/>
  <c r="J10" i="1"/>
  <c r="J11" i="1"/>
  <c r="J12" i="1"/>
  <c r="J13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N3" i="1"/>
  <c r="N2" i="1"/>
  <c r="M3" i="1"/>
  <c r="M4" i="1"/>
  <c r="M5" i="1"/>
  <c r="M6" i="1"/>
  <c r="M2" i="1" s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</calcChain>
</file>

<file path=xl/sharedStrings.xml><?xml version="1.0" encoding="utf-8"?>
<sst xmlns="http://schemas.openxmlformats.org/spreadsheetml/2006/main" count="2197" uniqueCount="41">
  <si>
    <t>User ID</t>
  </si>
  <si>
    <t>Device Model</t>
  </si>
  <si>
    <t>Operating System</t>
  </si>
  <si>
    <t>App Usage Time (min/day)</t>
  </si>
  <si>
    <t>Screen On Time (hours/day)</t>
  </si>
  <si>
    <t>Battery Drain (mAh/day)</t>
  </si>
  <si>
    <t>Number of Apps Installed</t>
  </si>
  <si>
    <t>Data Usage (MB/day)</t>
  </si>
  <si>
    <t>Age</t>
  </si>
  <si>
    <t>Gender</t>
  </si>
  <si>
    <t>User Behavior Class</t>
  </si>
  <si>
    <t>Google Pixel 5</t>
  </si>
  <si>
    <t>Android</t>
  </si>
  <si>
    <t>Male</t>
  </si>
  <si>
    <t>OnePlus 9</t>
  </si>
  <si>
    <t>Female</t>
  </si>
  <si>
    <t>Xiaomi Mi 11</t>
  </si>
  <si>
    <t>iPhone 12</t>
  </si>
  <si>
    <t>iOS</t>
  </si>
  <si>
    <t>Samsung Galaxy S21</t>
  </si>
  <si>
    <t>Engagement_Level</t>
  </si>
  <si>
    <t>High_Data_User</t>
  </si>
  <si>
    <t>High_Battery_Usage</t>
  </si>
  <si>
    <t>Row Labels</t>
  </si>
  <si>
    <t>Yes</t>
  </si>
  <si>
    <t>Grand Total</t>
  </si>
  <si>
    <t>Count of User ID</t>
  </si>
  <si>
    <t>Active_User_60min</t>
  </si>
  <si>
    <t>No</t>
  </si>
  <si>
    <t>High</t>
  </si>
  <si>
    <t>Low</t>
  </si>
  <si>
    <t>Medium</t>
  </si>
  <si>
    <t>Average of App Usage Time (min/day)</t>
  </si>
  <si>
    <t>Average of Screen On Time (hours/day)</t>
  </si>
  <si>
    <t>Average of Data Usage (MB/day)</t>
  </si>
  <si>
    <t>Average of Battery Drain (mAh/day)</t>
  </si>
  <si>
    <t>Age Group</t>
  </si>
  <si>
    <t>Column Labels</t>
  </si>
  <si>
    <t>&lt;25</t>
  </si>
  <si>
    <t>25–40</t>
  </si>
  <si>
    <t>40+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</si>
</sst>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39997558519241921"/>
      </left>
      <right/>
      <top style="double">
        <color theme="4"/>
      </top>
      <bottom style="thin">
        <color theme="4" tint="0.39997558519241921"/>
      </bottom>
      <diagonal/>
    </border>
    <border>
      <left/>
      <right/>
      <top style="double">
        <color theme="4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double">
        <color theme="4"/>
      </top>
      <bottom style="thin">
        <color theme="4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6" fillId="0" borderId="0" xfId="0" applyFont="1"/>
    <xf numFmtId="0" fontId="16" fillId="0" borderId="10" xfId="0" applyFont="1" applyBorder="1"/>
    <xf numFmtId="0" fontId="16" fillId="0" borderId="11" xfId="0" applyFont="1" applyBorder="1"/>
    <xf numFmtId="0" fontId="16" fillId="0" borderId="12" xfId="0" applyFon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0" fontId="0" fillId="0" borderId="0" xfId="0" applyNumberFormat="1"/>
    <xf numFmtId="1" fontId="0" fillId="0" borderId="0" xfId="0" applyNumberFormat="1"/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[Mobile_user_behavior_Cleaned.xlsx]Active_User!PivotTable1</c:name>
    <c:fmtId val="2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baseline="0"/>
              <a:t>Active User Rate</a:t>
            </a:r>
            <a:endParaRPr lang="en-US"/>
          </a:p>
        </c:rich>
      </c:tx>
      <c:layout>
        <c:manualLayout>
          <c:xMode val="edge"/>
          <c:yMode val="edge"/>
          <c:x val="0.35482633420822396"/>
          <c:y val="0.1100904053659959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Active_User!$B$3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Active_User!$A$4:$A$6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Active_User!$B$4:$B$6</c:f>
              <c:numCache>
                <c:formatCode>0.00%</c:formatCode>
                <c:ptCount val="2"/>
                <c:pt idx="0">
                  <c:v>8.7142857142857147E-2</c:v>
                </c:pt>
                <c:pt idx="1">
                  <c:v>0.91285714285714281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BA-4543-95F0-E9B4BB9C22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01274063"/>
        <c:axId val="1401283183"/>
      </c:barChart>
      <c:catAx>
        <c:axId val="1401274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1283183"/>
        <c:crosses val="autoZero"/>
        <c:auto val="1"/>
        <c:lblAlgn val="ctr"/>
        <c:lblOffset val="100"/>
        <c:noMultiLvlLbl val="0"/>
      </c:catAx>
      <c:valAx>
        <c:axId val="1401283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12740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[Mobile_user_behavior_Cleaned.xlsx]Engagement distriubution!PivotTable3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US"/>
              <a:t>Users By Engagement Level</a:t>
            </a:r>
          </a:p>
        </c:rich>
      </c:tx>
      <c:layout>
        <c:manualLayout>
          <c:xMode val="edge"/>
          <c:yMode val="edge"/>
          <c:x val="0.25260107289220424"/>
          <c:y val="0.1332385535141440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>
            <a:gsLst>
              <a:gs pos="0">
                <a:schemeClr val="accent1"/>
              </a:gs>
              <a:gs pos="100000">
                <a:schemeClr val="accent1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>
            <a:gsLst>
              <a:gs pos="0">
                <a:schemeClr val="accent1"/>
              </a:gs>
              <a:gs pos="100000">
                <a:schemeClr val="accent1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>
            <a:gsLst>
              <a:gs pos="0">
                <a:schemeClr val="accent1"/>
              </a:gs>
              <a:gs pos="100000">
                <a:schemeClr val="accent1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'Engagement distriubution'!$B$3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'Engagement distriubution'!$A$4:$A$7</c:f>
              <c:strCache>
                <c:ptCount val="3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</c:strCache>
            </c:strRef>
          </c:cat>
          <c:val>
            <c:numRef>
              <c:f>'Engagement distriubution'!$B$4:$B$7</c:f>
              <c:numCache>
                <c:formatCode>General</c:formatCode>
                <c:ptCount val="3"/>
                <c:pt idx="0">
                  <c:v>418</c:v>
                </c:pt>
                <c:pt idx="1">
                  <c:v>61</c:v>
                </c:pt>
                <c:pt idx="2">
                  <c:v>221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38-4937-B463-D5EB0B4EF6D2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1336190687"/>
        <c:axId val="1336185407"/>
      </c:barChart>
      <c:catAx>
        <c:axId val="13361906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6185407"/>
        <c:crosses val="autoZero"/>
        <c:auto val="1"/>
        <c:lblAlgn val="ctr"/>
        <c:lblOffset val="100"/>
        <c:noMultiLvlLbl val="0"/>
      </c:catAx>
      <c:valAx>
        <c:axId val="1336185407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3361906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[Mobile_user_behavior_Cleaned.xlsx]Avg App Usage Time by Engagemen!PivotTable6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Avg App Usage Time by Engagement</a:t>
            </a:r>
          </a:p>
        </c:rich>
      </c:tx>
      <c:layout>
        <c:manualLayout>
          <c:xMode val="edge"/>
          <c:yMode val="edge"/>
          <c:x val="0.31810739019068401"/>
          <c:y val="0.1193496646252551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  <c:pivotFmt>
        <c:idx val="3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  <c:pivotFmt>
        <c:idx val="4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  <c:pivotFmt>
        <c:idx val="5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  <c:pivotFmt>
        <c:idx val="7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  <c:pivotFmt>
        <c:idx val="8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'Avg App Usage Time by Engagemen'!$B$3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lt1"/>
            </a:solidFill>
            <a:ln w="19050">
              <a:solidFill>
                <a:schemeClr val="accent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EEF-4F7A-85D5-52B9E69EA913}"/>
              </c:ext>
            </c:extLst>
          </c:dPt>
          <c:dPt>
            <c:idx val="1"/>
            <c:invertIfNegative val="0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EEF-4F7A-85D5-52B9E69EA913}"/>
              </c:ext>
            </c:extLst>
          </c:dPt>
          <c:dPt>
            <c:idx val="2"/>
            <c:invertIfNegative val="0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EEF-4F7A-85D5-52B9E69EA91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'Avg App Usage Time by Engagemen'!$A$4:$A$7</c:f>
              <c:strCache>
                <c:ptCount val="3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</c:strCache>
            </c:strRef>
          </c:cat>
          <c:val>
            <c:numRef>
              <c:f>'Avg App Usage Time by Engagemen'!$B$4:$B$7</c:f>
              <c:numCache>
                <c:formatCode>0</c:formatCode>
                <c:ptCount val="3"/>
                <c:pt idx="0">
                  <c:v>388.28708133971293</c:v>
                </c:pt>
                <c:pt idx="1">
                  <c:v>43.590163934426229</c:v>
                </c:pt>
                <c:pt idx="2">
                  <c:v>112.3393665158371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EEF-4F7A-85D5-52B9E69EA9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436210911"/>
        <c:axId val="1436212831"/>
      </c:barChart>
      <c:catAx>
        <c:axId val="14362109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3175" cap="flat" cmpd="sng" algn="ctr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6212831"/>
        <c:auto val="1"/>
        <c:lblAlgn val="ctr"/>
        <c:lblOffset val="100"/>
        <c:noMultiLvlLbl val="0"/>
      </c:catAx>
      <c:valAx>
        <c:axId val="1436212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6210911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[Mobile_user_behavior_Cleaned.xlsx]Avg Screen Time by Engagement!PivotTable9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baseline="0"/>
              <a:t>Avg Screen Time (hours/day) by Engagement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'Avg Screen Time by Engagement'!$B$3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'Avg Screen Time by Engagement'!$A$4:$A$7</c:f>
              <c:strCache>
                <c:ptCount val="3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</c:strCache>
            </c:strRef>
          </c:cat>
          <c:val>
            <c:numRef>
              <c:f>'Avg Screen Time by Engagement'!$B$4:$B$7</c:f>
              <c:numCache>
                <c:formatCode>0</c:formatCode>
                <c:ptCount val="3"/>
                <c:pt idx="0">
                  <c:v>7.2839712918660284</c:v>
                </c:pt>
                <c:pt idx="1">
                  <c:v>1.5065573770491802</c:v>
                </c:pt>
                <c:pt idx="2">
                  <c:v>2.5081447963800918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D3-4C33-B7EB-CEA61F8E02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70827311"/>
        <c:axId val="1370829711"/>
      </c:barChart>
      <c:catAx>
        <c:axId val="13708273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0829711"/>
        <c:crosses val="autoZero"/>
        <c:auto val="1"/>
        <c:lblAlgn val="ctr"/>
        <c:lblOffset val="100"/>
        <c:noMultiLvlLbl val="0"/>
      </c:catAx>
      <c:valAx>
        <c:axId val="1370829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08273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[Mobile_user_behavior_Cleaned.xlsx]Avg Data Usage by Engagement!PivotTable10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baseline="0"/>
              <a:t>Avg Data Usage (MB/day) by Engagement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'Avg Data Usage by Engagement'!$B$3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'Avg Data Usage by Engagement'!$A$4:$A$7</c:f>
              <c:strCache>
                <c:ptCount val="3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</c:strCache>
            </c:strRef>
          </c:cat>
          <c:val>
            <c:numRef>
              <c:f>'Avg Data Usage by Engagement'!$B$4:$B$7</c:f>
              <c:numCache>
                <c:formatCode>0</c:formatCode>
                <c:ptCount val="3"/>
                <c:pt idx="0">
                  <c:v>1333.4856459330144</c:v>
                </c:pt>
                <c:pt idx="1">
                  <c:v>195.73770491803279</c:v>
                </c:pt>
                <c:pt idx="2">
                  <c:v>368.70135746606337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4C-48B9-A247-B4251B077C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73720863"/>
        <c:axId val="1373709343"/>
      </c:barChart>
      <c:catAx>
        <c:axId val="1373720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3709343"/>
        <c:crosses val="autoZero"/>
        <c:auto val="1"/>
        <c:lblAlgn val="ctr"/>
        <c:lblOffset val="100"/>
        <c:noMultiLvlLbl val="0"/>
      </c:catAx>
      <c:valAx>
        <c:axId val="1373709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3720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[Mobile_user_behavior_Cleaned.xlsx]Avg Battery Drain !PivotTable11</c:name>
    <c:fmtId val="1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baseline="0"/>
              <a:t>Avg Battery Drain (mAh/day) by Engagement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'Avg Battery Drain 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'Avg Battery Drain '!$A$4:$A$7</c:f>
              <c:strCache>
                <c:ptCount val="3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</c:strCache>
            </c:strRef>
          </c:cat>
          <c:val>
            <c:numRef>
              <c:f>'Avg Battery Drain '!$B$4:$B$7</c:f>
              <c:numCache>
                <c:formatCode>0</c:formatCode>
                <c:ptCount val="3"/>
                <c:pt idx="0">
                  <c:v>2097.3636363636365</c:v>
                </c:pt>
                <c:pt idx="1">
                  <c:v>444.26229508196724</c:v>
                </c:pt>
                <c:pt idx="2">
                  <c:v>741.23529411764707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E5-47F2-A0C8-834EC93E3A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38000447"/>
        <c:axId val="1338011007"/>
      </c:barChart>
      <c:catAx>
        <c:axId val="13380004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8011007"/>
        <c:crosses val="autoZero"/>
        <c:auto val="1"/>
        <c:lblAlgn val="ctr"/>
        <c:lblOffset val="100"/>
        <c:noMultiLvlLbl val="0"/>
      </c:catAx>
      <c:valAx>
        <c:axId val="13380110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80004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[Mobile_user_behavior_Cleaned.xlsx]High Data Users (Top 25%)!PivotTable12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800" b="1" i="0" u="none" strike="noStrike" baseline="0"/>
              <a:t>High Data Users (Top 25%)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'High Data Users (Top 25%)'!$B$3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'High Data Users (Top 25%)'!$A$4:$A$6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'High Data Users (Top 25%)'!$B$4:$B$6</c:f>
              <c:numCache>
                <c:formatCode>0%</c:formatCode>
                <c:ptCount val="2"/>
                <c:pt idx="0">
                  <c:v>0.74857142857142855</c:v>
                </c:pt>
                <c:pt idx="1">
                  <c:v>0.25142857142857145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AF-48F5-9C8F-2534EEDCF223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[Mobile_user_behavior_Cleaned.xlsx]High Battery Users (Top 25%)!PivotTable13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baseline="0"/>
              <a:t>High Battery Users (Top 25%)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'High Battery Users (Top 25%)'!$B$3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strRef>
              <c:f>'High Battery Users (Top 25%)'!$A$4:$A$6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'High Battery Users (Top 25%)'!$B$4:$B$6</c:f>
              <c:numCache>
                <c:formatCode>0%</c:formatCode>
                <c:ptCount val="2"/>
                <c:pt idx="0">
                  <c:v>0.74857142857142855</c:v>
                </c:pt>
                <c:pt idx="1">
                  <c:v>0.25142857142857145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5C-49CC-B715-06A2B6C997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92935023"/>
        <c:axId val="1392935503"/>
      </c:barChart>
      <c:catAx>
        <c:axId val="13929350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2935503"/>
        <c:auto val="1"/>
        <c:lblAlgn val="ctr"/>
        <c:lblOffset val="100"/>
        <c:noMultiLvlLbl val="0"/>
      </c:catAx>
      <c:valAx>
        <c:axId val="1392935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2935023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[Mobile_user_behavior_Cleaned.xlsx]Engagement vs Time, Data &amp; Batt!PivotTable24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baseline="0"/>
              <a:t>Engagement vs Time, Data &amp; Battery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'Engagement vs Time, Data &amp; Batt'!$B$3</c:f>
              <c:strCache>
                <c:ptCount val="1"/>
                <c:pt idx="0">
                  <c:v>Average of App Usage Time (min/day)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'Engagement vs Time, Data &amp; Batt'!$A$4:$A$7</c:f>
              <c:strCache>
                <c:ptCount val="3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</c:strCache>
            </c:strRef>
          </c:cat>
          <c:val>
            <c:numRef>
              <c:f>'Engagement vs Time, Data &amp; Batt'!$B$4:$B$7</c:f>
              <c:numCache>
                <c:formatCode>0</c:formatCode>
                <c:ptCount val="3"/>
                <c:pt idx="0">
                  <c:v>388.28708133971293</c:v>
                </c:pt>
                <c:pt idx="1">
                  <c:v>43.590163934426229</c:v>
                </c:pt>
                <c:pt idx="2">
                  <c:v>112.3393665158371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74-40F0-8F26-DDC573E7DB0A}"/>
            </c:ext>
          </c:extLst>
        </c:ser>
        <c:ser>
          <c:idx val="1"/>
          <c:order val="1"/>
          <c:tx>
            <c:strRef>
              <c:f>'Engagement vs Time, Data &amp; Batt'!$C$3</c:f>
              <c:strCache>
                <c:ptCount val="1"/>
                <c:pt idx="0">
                  <c:v>Average of Battery Drain (mAh/day)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'Engagement vs Time, Data &amp; Batt'!$A$4:$A$7</c:f>
              <c:strCache>
                <c:ptCount val="3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</c:strCache>
            </c:strRef>
          </c:cat>
          <c:val>
            <c:numRef>
              <c:f>'Engagement vs Time, Data &amp; Batt'!$C$4:$C$7</c:f>
              <c:numCache>
                <c:formatCode>0</c:formatCode>
                <c:ptCount val="3"/>
                <c:pt idx="0">
                  <c:v>2097.3636363636365</c:v>
                </c:pt>
                <c:pt idx="1">
                  <c:v>444.26229508196724</c:v>
                </c:pt>
                <c:pt idx="2">
                  <c:v>741.23529411764707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874-40F0-8F26-DDC573E7DB0A}"/>
            </c:ext>
          </c:extLst>
        </c:ser>
        <c:ser>
          <c:idx val="2"/>
          <c:order val="2"/>
          <c:tx>
            <c:strRef>
              <c:f>'Engagement vs Time, Data &amp; Batt'!$D$3</c:f>
              <c:strCache>
                <c:ptCount val="1"/>
                <c:pt idx="0">
                  <c:v>Average of Data Usage (MB/day)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'Engagement vs Time, Data &amp; Batt'!$A$4:$A$7</c:f>
              <c:strCache>
                <c:ptCount val="3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</c:strCache>
            </c:strRef>
          </c:cat>
          <c:val>
            <c:numRef>
              <c:f>'Engagement vs Time, Data &amp; Batt'!$D$4:$D$7</c:f>
              <c:numCache>
                <c:formatCode>0</c:formatCode>
                <c:ptCount val="3"/>
                <c:pt idx="0">
                  <c:v>1333.4856459330144</c:v>
                </c:pt>
                <c:pt idx="1">
                  <c:v>195.73770491803279</c:v>
                </c:pt>
                <c:pt idx="2">
                  <c:v>368.70135746606337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874-40F0-8F26-DDC573E7DB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00665759"/>
        <c:axId val="1500674879"/>
      </c:barChart>
      <c:catAx>
        <c:axId val="1500665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674879"/>
        <c:crosses val="autoZero"/>
        <c:auto val="1"/>
        <c:lblAlgn val="ctr"/>
        <c:lblOffset val="100"/>
        <c:noMultiLvlLbl val="0"/>
      </c:catAx>
      <c:valAx>
        <c:axId val="1500674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6657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[Mobile_user_behavior_Cleaned.xlsx]Engagement Level by Age Group!PivotTable25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Engagement Level by Age Group</a:t>
            </a:r>
          </a:p>
          <a:p>
            <a:pPr>
              <a:defRPr/>
            </a:pP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'Engagement Level by Age Group'!$B$3:$B$4</c:f>
              <c:strCache>
                <c:ptCount val="1"/>
                <c:pt idx="0">
                  <c:v>High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'Engagement Level by Age Group'!$A$5:$A$8</c:f>
              <c:strCache>
                <c:ptCount val="3"/>
                <c:pt idx="0">
                  <c:v>&lt;25</c:v>
                </c:pt>
                <c:pt idx="1">
                  <c:v>25–40</c:v>
                </c:pt>
                <c:pt idx="2">
                  <c:v>40+</c:v>
                </c:pt>
              </c:strCache>
            </c:strRef>
          </c:cat>
          <c:val>
            <c:numRef>
              <c:f>'Engagement Level by Age Group'!$B$5:$B$8</c:f>
              <c:numCache>
                <c:formatCode>General</c:formatCode>
                <c:ptCount val="3"/>
                <c:pt idx="0">
                  <c:v>79</c:v>
                </c:pt>
                <c:pt idx="1">
                  <c:v>150</c:v>
                </c:pt>
                <c:pt idx="2">
                  <c:v>189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F0-4C02-A1B0-BDB2C4CC9677}"/>
            </c:ext>
          </c:extLst>
        </c:ser>
        <c:ser>
          <c:idx val="1"/>
          <c:order val="1"/>
          <c:tx>
            <c:strRef>
              <c:f>'Engagement Level by Age Group'!$C$3:$C$4</c:f>
              <c:strCache>
                <c:ptCount val="1"/>
                <c:pt idx="0">
                  <c:v>Low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'Engagement Level by Age Group'!$A$5:$A$8</c:f>
              <c:strCache>
                <c:ptCount val="3"/>
                <c:pt idx="0">
                  <c:v>&lt;25</c:v>
                </c:pt>
                <c:pt idx="1">
                  <c:v>25–40</c:v>
                </c:pt>
                <c:pt idx="2">
                  <c:v>40+</c:v>
                </c:pt>
              </c:strCache>
            </c:strRef>
          </c:cat>
          <c:val>
            <c:numRef>
              <c:f>'Engagement Level by Age Group'!$C$5:$C$8</c:f>
              <c:numCache>
                <c:formatCode>General</c:formatCode>
                <c:ptCount val="3"/>
                <c:pt idx="0">
                  <c:v>12</c:v>
                </c:pt>
                <c:pt idx="1">
                  <c:v>25</c:v>
                </c:pt>
                <c:pt idx="2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CF0-4C02-A1B0-BDB2C4CC9677}"/>
            </c:ext>
          </c:extLst>
        </c:ser>
        <c:ser>
          <c:idx val="2"/>
          <c:order val="2"/>
          <c:tx>
            <c:strRef>
              <c:f>'Engagement Level by Age Group'!$D$3:$D$4</c:f>
              <c:strCache>
                <c:ptCount val="1"/>
                <c:pt idx="0">
                  <c:v>Medium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'Engagement Level by Age Group'!$A$5:$A$8</c:f>
              <c:strCache>
                <c:ptCount val="3"/>
                <c:pt idx="0">
                  <c:v>&lt;25</c:v>
                </c:pt>
                <c:pt idx="1">
                  <c:v>25–40</c:v>
                </c:pt>
                <c:pt idx="2">
                  <c:v>40+</c:v>
                </c:pt>
              </c:strCache>
            </c:strRef>
          </c:cat>
          <c:val>
            <c:numRef>
              <c:f>'Engagement Level by Age Group'!$D$5:$D$8</c:f>
              <c:numCache>
                <c:formatCode>General</c:formatCode>
                <c:ptCount val="3"/>
                <c:pt idx="0">
                  <c:v>19</c:v>
                </c:pt>
                <c:pt idx="1">
                  <c:v>101</c:v>
                </c:pt>
                <c:pt idx="2">
                  <c:v>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CF0-4C02-A1B0-BDB2C4CC96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03006335"/>
        <c:axId val="1403004415"/>
      </c:barChart>
      <c:catAx>
        <c:axId val="1403006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3004415"/>
        <c:crosses val="autoZero"/>
        <c:auto val="1"/>
        <c:lblAlgn val="ctr"/>
        <c:lblOffset val="100"/>
        <c:noMultiLvlLbl val="0"/>
      </c:catAx>
      <c:valAx>
        <c:axId val="1403004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30063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[Mobile_user_behavior_Cleaned.xlsx]Active_User!PivotTable1</c:name>
    <c:fmtId val="1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baseline="0"/>
              <a:t>Active Users (≥60 min/day) — %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Active_User!$B$3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Active_User!$A$4:$A$6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Active_User!$B$4:$B$6</c:f>
              <c:numCache>
                <c:formatCode>0.00%</c:formatCode>
                <c:ptCount val="2"/>
                <c:pt idx="0">
                  <c:v>8.7142857142857147E-2</c:v>
                </c:pt>
                <c:pt idx="1">
                  <c:v>0.91285714285714281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EE-49A6-9E5B-27600FD8C3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78412863"/>
        <c:axId val="1878413343"/>
      </c:barChart>
      <c:catAx>
        <c:axId val="1878412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8413343"/>
        <c:crosses val="autoZero"/>
        <c:auto val="1"/>
        <c:lblAlgn val="ctr"/>
        <c:lblOffset val="100"/>
        <c:noMultiLvlLbl val="0"/>
      </c:catAx>
      <c:valAx>
        <c:axId val="1878413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8412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60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>
      <cs:styleClr val="0"/>
    </cs:lnRef>
    <cs:fillRef idx="0"/>
    <cs:effectRef idx="0"/>
    <cs:fontRef idx="minor">
      <cs:styleClr val="0"/>
    </cs:fontRef>
    <cs:defRPr sz="900" b="1" kern="1200"/>
  </cs:dataLabel>
  <cs:dataLabelCallout>
    <cs:lnRef idx="0">
      <cs:styleClr val="0"/>
    </cs:lnRef>
    <cs:fillRef idx="0"/>
    <cs:effectRef idx="0"/>
    <cs:fontRef idx="minor">
      <cs:styleClr val="0"/>
    </cs:fontRef>
    <cs:spPr>
      <a:solidFill>
        <a:schemeClr val="lt1"/>
      </a:solidFill>
      <a:ln>
        <a:solidFill>
          <a:schemeClr val="phClr"/>
        </a:solidFill>
      </a:ln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0"/>
    </cs:lnRef>
    <cs:fillRef idx="0"/>
    <cs:effectRef idx="0"/>
    <cs:fontRef idx="minor">
      <a:schemeClr val="dk1"/>
    </cs:fontRef>
    <cs:spPr>
      <a:solidFill>
        <a:schemeClr val="lt1"/>
      </a:solidFill>
      <a:ln w="19050"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91440</xdr:colOff>
      <xdr:row>6</xdr:row>
      <xdr:rowOff>41910</xdr:rowOff>
    </xdr:from>
    <xdr:to>
      <xdr:col>11</xdr:col>
      <xdr:colOff>396240</xdr:colOff>
      <xdr:row>21</xdr:row>
      <xdr:rowOff>41910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62BA6F7-1435-E263-6568-AC7A5D0A08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243840</xdr:colOff>
      <xdr:row>8</xdr:row>
      <xdr:rowOff>49530</xdr:rowOff>
    </xdr:from>
    <xdr:to>
      <xdr:col>9</xdr:col>
      <xdr:colOff>220980</xdr:colOff>
      <xdr:row>23</xdr:row>
      <xdr:rowOff>49530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21D773CC-1E3F-A482-4B24-394F51B934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1059180</xdr:colOff>
      <xdr:row>7</xdr:row>
      <xdr:rowOff>118110</xdr:rowOff>
    </xdr:from>
    <xdr:to>
      <xdr:col>10</xdr:col>
      <xdr:colOff>312420</xdr:colOff>
      <xdr:row>22</xdr:row>
      <xdr:rowOff>118110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C9165F82-CF93-2375-D5CA-EB808E98B6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7620</xdr:colOff>
      <xdr:row>6</xdr:row>
      <xdr:rowOff>41910</xdr:rowOff>
    </xdr:from>
    <xdr:to>
      <xdr:col>9</xdr:col>
      <xdr:colOff>312420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6F2687-0182-E005-FC1E-18810D4812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213360</xdr:colOff>
      <xdr:row>6</xdr:row>
      <xdr:rowOff>41910</xdr:rowOff>
    </xdr:from>
    <xdr:to>
      <xdr:col>9</xdr:col>
      <xdr:colOff>518160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8D56BED-A806-4232-0FE9-07B13C95ED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205740</xdr:colOff>
      <xdr:row>6</xdr:row>
      <xdr:rowOff>41910</xdr:rowOff>
    </xdr:from>
    <xdr:to>
      <xdr:col>9</xdr:col>
      <xdr:colOff>510540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2EA8912-3EFC-9FA9-EF71-44EE97AB14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91440</xdr:colOff>
      <xdr:row>6</xdr:row>
      <xdr:rowOff>41910</xdr:rowOff>
    </xdr:from>
    <xdr:to>
      <xdr:col>11</xdr:col>
      <xdr:colOff>396240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44D6833-CD90-266C-AE3F-1960666E1D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91440</xdr:colOff>
      <xdr:row>6</xdr:row>
      <xdr:rowOff>41910</xdr:rowOff>
    </xdr:from>
    <xdr:to>
      <xdr:col>11</xdr:col>
      <xdr:colOff>396240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FD9A33-39AD-9CD1-BA6D-2F9A2FA8E4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1028700</xdr:colOff>
      <xdr:row>8</xdr:row>
      <xdr:rowOff>125730</xdr:rowOff>
    </xdr:from>
    <xdr:to>
      <xdr:col>6</xdr:col>
      <xdr:colOff>434340</xdr:colOff>
      <xdr:row>23</xdr:row>
      <xdr:rowOff>125730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6A0F3C9-59B5-CA6E-A237-29F761F3A1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114300</xdr:colOff>
      <xdr:row>9</xdr:row>
      <xdr:rowOff>57150</xdr:rowOff>
    </xdr:from>
    <xdr:to>
      <xdr:col>13</xdr:col>
      <xdr:colOff>419100</xdr:colOff>
      <xdr:row>24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74E64C5-428C-9FA7-BB7F-2A91184444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22866</xdr:colOff>
      <xdr:row>6</xdr:row>
      <xdr:rowOff>26670</xdr:rowOff>
    </xdr:from>
    <xdr:to>
      <xdr:col>7</xdr:col>
      <xdr:colOff>327666</xdr:colOff>
      <xdr:row>21</xdr:row>
      <xdr:rowOff>26670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26B4E92-2551-3401-872E-674F7E422A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onso ezeoma" refreshedDate="46021.920178356479" createdVersion="8" refreshedVersion="8" minRefreshableVersion="3" recordCount="704" xr:uid="{496BFF20-149D-4AA7-BFDA-3B0E4364E6AE}">
  <cacheSource type="worksheet">
    <worksheetSource name="Table2"/>
  </cacheSource>
  <cacheFields count="17">
    <cacheField name="User ID" numFmtId="0">
      <sharedItems containsString="0" containsBlank="1" containsNumber="1" containsInteger="1" minValue="1" maxValue="700"/>
    </cacheField>
    <cacheField name="Device Model" numFmtId="0">
      <sharedItems containsBlank="1"/>
    </cacheField>
    <cacheField name="Operating System" numFmtId="0">
      <sharedItems containsBlank="1"/>
    </cacheField>
    <cacheField name="App Usage Time (min/day)" numFmtId="0">
      <sharedItems containsString="0" containsBlank="1" containsNumber="1" containsInteger="1" minValue="30" maxValue="598"/>
    </cacheField>
    <cacheField name="Screen On Time (hours/day)" numFmtId="0">
      <sharedItems containsString="0" containsBlank="1" containsNumber="1" minValue="1" maxValue="12"/>
    </cacheField>
    <cacheField name="Battery Drain (mAh/day)" numFmtId="0">
      <sharedItems containsString="0" containsBlank="1" containsNumber="1" containsInteger="1" minValue="302" maxValue="2993"/>
    </cacheField>
    <cacheField name="Number of Apps Installed" numFmtId="0">
      <sharedItems containsString="0" containsBlank="1" containsNumber="1" containsInteger="1" minValue="10" maxValue="99"/>
    </cacheField>
    <cacheField name="Data Usage (MB/day)" numFmtId="0">
      <sharedItems containsString="0" containsBlank="1" containsNumber="1" containsInteger="1" minValue="102" maxValue="2497"/>
    </cacheField>
    <cacheField name="Age" numFmtId="0">
      <sharedItems containsString="0" containsBlank="1" containsNumber="1" containsInteger="1" minValue="18" maxValue="59"/>
    </cacheField>
    <cacheField name="Age Group" numFmtId="0">
      <sharedItems containsBlank="1" count="4">
        <s v="25–40"/>
        <s v="40+"/>
        <s v="&lt;25"/>
        <m/>
      </sharedItems>
    </cacheField>
    <cacheField name="Gender" numFmtId="0">
      <sharedItems containsBlank="1"/>
    </cacheField>
    <cacheField name="User Behavior Class" numFmtId="0">
      <sharedItems containsString="0" containsBlank="1" containsNumber="1" containsInteger="1" minValue="1" maxValue="5"/>
    </cacheField>
    <cacheField name="Active_User_60min" numFmtId="0">
      <sharedItems containsBlank="1"/>
    </cacheField>
    <cacheField name="Engagement_Level" numFmtId="0">
      <sharedItems containsBlank="1" count="4">
        <s v="High"/>
        <s v="Medium"/>
        <s v="Low"/>
        <m/>
      </sharedItems>
    </cacheField>
    <cacheField name="High_Data_User" numFmtId="0">
      <sharedItems containsBlank="1"/>
    </cacheField>
    <cacheField name="High_Battery_Usage" numFmtId="0">
      <sharedItems containsBlank="1"/>
    </cacheField>
    <cacheField name="Column1" numFmtId="0">
      <sharedItems containsString="0" containsBlank="1" containsNumber="1" containsInteger="1" minValue="2" maxValue="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onso ezeoma" refreshedDate="46021.920178935186" createdVersion="8" refreshedVersion="8" minRefreshableVersion="3" recordCount="700" xr:uid="{C673BAAC-2163-4526-8D8F-5509322BA99D}">
  <cacheSource type="worksheet">
    <worksheetSource ref="A1:P701" sheet="user_behavior_dataset"/>
  </cacheSource>
  <cacheFields count="16">
    <cacheField name="User ID" numFmtId="0">
      <sharedItems containsSemiMixedTypes="0" containsString="0" containsNumber="1" containsInteger="1" minValue="1" maxValue="700"/>
    </cacheField>
    <cacheField name="Device Model" numFmtId="0">
      <sharedItems/>
    </cacheField>
    <cacheField name="Operating System" numFmtId="0">
      <sharedItems/>
    </cacheField>
    <cacheField name="App Usage Time (min/day)" numFmtId="0">
      <sharedItems containsSemiMixedTypes="0" containsString="0" containsNumber="1" containsInteger="1" minValue="30" maxValue="598"/>
    </cacheField>
    <cacheField name="Screen On Time (hours/day)" numFmtId="0">
      <sharedItems containsSemiMixedTypes="0" containsString="0" containsNumber="1" minValue="1" maxValue="12"/>
    </cacheField>
    <cacheField name="Battery Drain (mAh/day)" numFmtId="0">
      <sharedItems containsSemiMixedTypes="0" containsString="0" containsNumber="1" containsInteger="1" minValue="302" maxValue="2993"/>
    </cacheField>
    <cacheField name="Number of Apps Installed" numFmtId="0">
      <sharedItems containsSemiMixedTypes="0" containsString="0" containsNumber="1" containsInteger="1" minValue="10" maxValue="99"/>
    </cacheField>
    <cacheField name="Data Usage (MB/day)" numFmtId="0">
      <sharedItems containsSemiMixedTypes="0" containsString="0" containsNumber="1" containsInteger="1" minValue="102" maxValue="2497"/>
    </cacheField>
    <cacheField name="Age" numFmtId="0">
      <sharedItems containsSemiMixedTypes="0" containsString="0" containsNumber="1" containsInteger="1" minValue="18" maxValue="59"/>
    </cacheField>
    <cacheField name="Age Group" numFmtId="0">
      <sharedItems/>
    </cacheField>
    <cacheField name="Gender" numFmtId="0">
      <sharedItems/>
    </cacheField>
    <cacheField name="User Behavior Class" numFmtId="0">
      <sharedItems containsSemiMixedTypes="0" containsString="0" containsNumber="1" containsInteger="1" minValue="1" maxValue="5"/>
    </cacheField>
    <cacheField name="Active_User_60min" numFmtId="0">
      <sharedItems count="2">
        <s v="Yes"/>
        <s v="No"/>
      </sharedItems>
    </cacheField>
    <cacheField name="Engagement_Level" numFmtId="0">
      <sharedItems count="3">
        <s v="High"/>
        <s v="Medium"/>
        <s v="Low"/>
      </sharedItems>
    </cacheField>
    <cacheField name="High_Data_User" numFmtId="0">
      <sharedItems count="2">
        <s v="No"/>
        <s v="Yes"/>
      </sharedItems>
    </cacheField>
    <cacheField name="High_Battery_Usage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4">
  <r>
    <n v="1"/>
    <s v="Google Pixel 5"/>
    <s v="Android"/>
    <n v="393"/>
    <n v="6.4"/>
    <n v="1872"/>
    <n v="67"/>
    <n v="1122"/>
    <n v="40"/>
    <x v="0"/>
    <s v="Male"/>
    <n v="4"/>
    <s v="Yes"/>
    <x v="0"/>
    <s v="No"/>
    <s v="No"/>
    <m/>
  </r>
  <r>
    <n v="2"/>
    <s v="OnePlus 9"/>
    <s v="Android"/>
    <n v="268"/>
    <n v="4.7"/>
    <n v="1331"/>
    <n v="42"/>
    <n v="944"/>
    <n v="47"/>
    <x v="1"/>
    <s v="Female"/>
    <n v="3"/>
    <s v="Yes"/>
    <x v="0"/>
    <s v="No"/>
    <s v="No"/>
    <m/>
  </r>
  <r>
    <n v="3"/>
    <s v="Xiaomi Mi 11"/>
    <s v="Android"/>
    <n v="154"/>
    <n v="4"/>
    <n v="761"/>
    <n v="32"/>
    <n v="322"/>
    <n v="42"/>
    <x v="1"/>
    <s v="Male"/>
    <n v="2"/>
    <s v="Yes"/>
    <x v="1"/>
    <s v="No"/>
    <s v="No"/>
    <m/>
  </r>
  <r>
    <n v="4"/>
    <s v="Google Pixel 5"/>
    <s v="Android"/>
    <n v="239"/>
    <n v="4.8"/>
    <n v="1676"/>
    <n v="56"/>
    <n v="871"/>
    <n v="20"/>
    <x v="2"/>
    <s v="Male"/>
    <n v="3"/>
    <s v="Yes"/>
    <x v="0"/>
    <s v="No"/>
    <s v="No"/>
    <n v="2"/>
  </r>
  <r>
    <n v="5"/>
    <s v="iPhone 12"/>
    <s v="iOS"/>
    <n v="187"/>
    <n v="4.3"/>
    <n v="1367"/>
    <n v="58"/>
    <n v="988"/>
    <n v="31"/>
    <x v="0"/>
    <s v="Female"/>
    <n v="3"/>
    <s v="Yes"/>
    <x v="0"/>
    <s v="No"/>
    <s v="No"/>
    <m/>
  </r>
  <r>
    <n v="6"/>
    <s v="Google Pixel 5"/>
    <s v="Android"/>
    <n v="99"/>
    <n v="2"/>
    <n v="940"/>
    <n v="35"/>
    <n v="564"/>
    <n v="31"/>
    <x v="0"/>
    <s v="Male"/>
    <n v="2"/>
    <s v="Yes"/>
    <x v="1"/>
    <s v="No"/>
    <s v="No"/>
    <m/>
  </r>
  <r>
    <n v="7"/>
    <s v="Samsung Galaxy S21"/>
    <s v="Android"/>
    <n v="350"/>
    <n v="7.3"/>
    <n v="1802"/>
    <n v="66"/>
    <n v="1054"/>
    <n v="21"/>
    <x v="2"/>
    <s v="Female"/>
    <n v="4"/>
    <s v="Yes"/>
    <x v="0"/>
    <s v="No"/>
    <s v="No"/>
    <m/>
  </r>
  <r>
    <n v="8"/>
    <s v="OnePlus 9"/>
    <s v="Android"/>
    <n v="543"/>
    <n v="11.4"/>
    <n v="2956"/>
    <n v="82"/>
    <n v="1702"/>
    <n v="31"/>
    <x v="0"/>
    <s v="Male"/>
    <n v="5"/>
    <s v="Yes"/>
    <x v="0"/>
    <s v="Yes"/>
    <s v="Yes"/>
    <m/>
  </r>
  <r>
    <n v="9"/>
    <s v="Samsung Galaxy S21"/>
    <s v="Android"/>
    <n v="340"/>
    <n v="7.7"/>
    <n v="2138"/>
    <n v="75"/>
    <n v="1053"/>
    <n v="42"/>
    <x v="1"/>
    <s v="Female"/>
    <n v="4"/>
    <s v="Yes"/>
    <x v="0"/>
    <s v="No"/>
    <s v="No"/>
    <m/>
  </r>
  <r>
    <n v="10"/>
    <s v="iPhone 12"/>
    <s v="iOS"/>
    <n v="424"/>
    <n v="6.6"/>
    <n v="1957"/>
    <n v="75"/>
    <n v="1301"/>
    <n v="42"/>
    <x v="1"/>
    <s v="Male"/>
    <n v="4"/>
    <s v="Yes"/>
    <x v="0"/>
    <s v="No"/>
    <s v="No"/>
    <m/>
  </r>
  <r>
    <n v="11"/>
    <s v="Google Pixel 5"/>
    <s v="Android"/>
    <n v="53"/>
    <n v="1.4"/>
    <n v="435"/>
    <n v="17"/>
    <n v="162"/>
    <n v="34"/>
    <x v="0"/>
    <s v="Female"/>
    <n v="1"/>
    <s v="No"/>
    <x v="2"/>
    <s v="No"/>
    <s v="No"/>
    <m/>
  </r>
  <r>
    <n v="12"/>
    <s v="OnePlus 9"/>
    <s v="Android"/>
    <n v="215"/>
    <n v="5.5"/>
    <n v="1690"/>
    <n v="47"/>
    <n v="641"/>
    <n v="24"/>
    <x v="2"/>
    <s v="Male"/>
    <n v="3"/>
    <s v="Yes"/>
    <x v="0"/>
    <s v="No"/>
    <s v="No"/>
    <m/>
  </r>
  <r>
    <n v="13"/>
    <s v="OnePlus 9"/>
    <s v="Android"/>
    <n v="462"/>
    <n v="6.2"/>
    <n v="2303"/>
    <n v="65"/>
    <n v="1099"/>
    <n v="57"/>
    <x v="1"/>
    <s v="Female"/>
    <n v="4"/>
    <s v="Yes"/>
    <x v="0"/>
    <s v="No"/>
    <s v="Yes"/>
    <m/>
  </r>
  <r>
    <n v="14"/>
    <s v="Xiaomi Mi 11"/>
    <s v="Android"/>
    <n v="215"/>
    <n v="4.9000000000000004"/>
    <n v="1662"/>
    <n v="43"/>
    <n v="857"/>
    <n v="43"/>
    <x v="1"/>
    <s v="Male"/>
    <n v="3"/>
    <s v="Yes"/>
    <x v="0"/>
    <s v="No"/>
    <s v="No"/>
    <m/>
  </r>
  <r>
    <n v="15"/>
    <s v="iPhone 12"/>
    <s v="iOS"/>
    <n v="189"/>
    <n v="5.4"/>
    <n v="1754"/>
    <n v="53"/>
    <n v="779"/>
    <n v="49"/>
    <x v="1"/>
    <s v="Female"/>
    <n v="3"/>
    <s v="Yes"/>
    <x v="0"/>
    <s v="No"/>
    <s v="No"/>
    <m/>
  </r>
  <r>
    <n v="16"/>
    <s v="Google Pixel 5"/>
    <s v="Android"/>
    <n v="503"/>
    <n v="10.4"/>
    <n v="2571"/>
    <n v="84"/>
    <n v="2025"/>
    <n v="39"/>
    <x v="0"/>
    <s v="Female"/>
    <n v="5"/>
    <s v="Yes"/>
    <x v="0"/>
    <s v="Yes"/>
    <s v="Yes"/>
    <m/>
  </r>
  <r>
    <n v="17"/>
    <s v="OnePlus 9"/>
    <s v="Android"/>
    <n v="132"/>
    <n v="3.6"/>
    <n v="628"/>
    <n v="32"/>
    <n v="344"/>
    <n v="47"/>
    <x v="1"/>
    <s v="Female"/>
    <n v="2"/>
    <s v="Yes"/>
    <x v="1"/>
    <s v="No"/>
    <s v="No"/>
    <m/>
  </r>
  <r>
    <n v="18"/>
    <s v="iPhone 12"/>
    <s v="iOS"/>
    <n v="299"/>
    <n v="5.8"/>
    <n v="1431"/>
    <n v="41"/>
    <n v="985"/>
    <n v="44"/>
    <x v="1"/>
    <s v="Female"/>
    <n v="3"/>
    <s v="Yes"/>
    <x v="0"/>
    <s v="No"/>
    <s v="No"/>
    <m/>
  </r>
  <r>
    <n v="19"/>
    <s v="Google Pixel 5"/>
    <s v="Android"/>
    <n v="81"/>
    <n v="1.4"/>
    <n v="558"/>
    <n v="16"/>
    <n v="297"/>
    <n v="26"/>
    <x v="0"/>
    <s v="Female"/>
    <n v="1"/>
    <s v="Yes"/>
    <x v="1"/>
    <s v="No"/>
    <s v="No"/>
    <m/>
  </r>
  <r>
    <n v="20"/>
    <s v="iPhone 12"/>
    <s v="iOS"/>
    <n v="577"/>
    <n v="8.5"/>
    <n v="2774"/>
    <n v="89"/>
    <n v="2192"/>
    <n v="29"/>
    <x v="0"/>
    <s v="Female"/>
    <n v="5"/>
    <s v="Yes"/>
    <x v="0"/>
    <s v="Yes"/>
    <s v="Yes"/>
    <m/>
  </r>
  <r>
    <n v="21"/>
    <s v="Samsung Galaxy S21"/>
    <s v="Android"/>
    <n v="93"/>
    <n v="2.6"/>
    <n v="681"/>
    <n v="37"/>
    <n v="302"/>
    <n v="45"/>
    <x v="1"/>
    <s v="Female"/>
    <n v="2"/>
    <s v="Yes"/>
    <x v="1"/>
    <s v="No"/>
    <s v="No"/>
    <m/>
  </r>
  <r>
    <n v="22"/>
    <s v="OnePlus 9"/>
    <s v="Android"/>
    <n v="576"/>
    <n v="11.6"/>
    <n v="2803"/>
    <n v="82"/>
    <n v="1553"/>
    <n v="43"/>
    <x v="1"/>
    <s v="Female"/>
    <n v="5"/>
    <s v="Yes"/>
    <x v="0"/>
    <s v="Yes"/>
    <s v="Yes"/>
    <m/>
  </r>
  <r>
    <n v="23"/>
    <s v="Samsung Galaxy S21"/>
    <s v="Android"/>
    <n v="423"/>
    <n v="6.5"/>
    <n v="2094"/>
    <n v="65"/>
    <n v="1372"/>
    <n v="23"/>
    <x v="2"/>
    <s v="Female"/>
    <n v="4"/>
    <s v="Yes"/>
    <x v="0"/>
    <s v="Yes"/>
    <s v="No"/>
    <m/>
  </r>
  <r>
    <n v="24"/>
    <s v="Google Pixel 5"/>
    <s v="Android"/>
    <n v="292"/>
    <n v="5.6"/>
    <n v="1401"/>
    <n v="46"/>
    <n v="949"/>
    <n v="37"/>
    <x v="0"/>
    <s v="Female"/>
    <n v="3"/>
    <s v="Yes"/>
    <x v="0"/>
    <s v="No"/>
    <s v="No"/>
    <m/>
  </r>
  <r>
    <n v="25"/>
    <s v="OnePlus 9"/>
    <s v="Android"/>
    <n v="216"/>
    <n v="4"/>
    <n v="1711"/>
    <n v="59"/>
    <n v="748"/>
    <n v="58"/>
    <x v="1"/>
    <s v="Male"/>
    <n v="3"/>
    <s v="Yes"/>
    <x v="0"/>
    <s v="No"/>
    <s v="No"/>
    <m/>
  </r>
  <r>
    <n v="26"/>
    <s v="Samsung Galaxy S21"/>
    <s v="Android"/>
    <n v="91"/>
    <n v="3.4"/>
    <n v="1073"/>
    <n v="38"/>
    <n v="451"/>
    <n v="52"/>
    <x v="1"/>
    <s v="Male"/>
    <n v="2"/>
    <s v="Yes"/>
    <x v="1"/>
    <s v="No"/>
    <s v="No"/>
    <m/>
  </r>
  <r>
    <n v="27"/>
    <s v="iPhone 12"/>
    <s v="iOS"/>
    <n v="444"/>
    <n v="7.6"/>
    <n v="2372"/>
    <n v="77"/>
    <n v="1002"/>
    <n v="29"/>
    <x v="0"/>
    <s v="Male"/>
    <n v="4"/>
    <s v="Yes"/>
    <x v="0"/>
    <s v="No"/>
    <s v="Yes"/>
    <m/>
  </r>
  <r>
    <n v="28"/>
    <s v="Google Pixel 5"/>
    <s v="Android"/>
    <n v="512"/>
    <n v="10.5"/>
    <n v="2409"/>
    <n v="89"/>
    <n v="1599"/>
    <n v="33"/>
    <x v="0"/>
    <s v="Male"/>
    <n v="5"/>
    <s v="Yes"/>
    <x v="0"/>
    <s v="Yes"/>
    <s v="Yes"/>
    <m/>
  </r>
  <r>
    <n v="29"/>
    <s v="OnePlus 9"/>
    <s v="Android"/>
    <n v="452"/>
    <n v="6.8"/>
    <n v="2387"/>
    <n v="77"/>
    <n v="1456"/>
    <n v="55"/>
    <x v="1"/>
    <s v="Female"/>
    <n v="4"/>
    <s v="Yes"/>
    <x v="0"/>
    <s v="Yes"/>
    <s v="Yes"/>
    <m/>
  </r>
  <r>
    <n v="30"/>
    <s v="Samsung Galaxy S21"/>
    <s v="Android"/>
    <n v="412"/>
    <n v="6.2"/>
    <n v="1899"/>
    <n v="78"/>
    <n v="1384"/>
    <n v="19"/>
    <x v="2"/>
    <s v="Female"/>
    <n v="4"/>
    <s v="Yes"/>
    <x v="0"/>
    <s v="Yes"/>
    <s v="No"/>
    <m/>
  </r>
  <r>
    <n v="31"/>
    <s v="Xiaomi Mi 11"/>
    <s v="Android"/>
    <n v="260"/>
    <n v="6"/>
    <n v="1361"/>
    <n v="44"/>
    <n v="889"/>
    <n v="37"/>
    <x v="0"/>
    <s v="Female"/>
    <n v="3"/>
    <s v="Yes"/>
    <x v="0"/>
    <s v="No"/>
    <s v="No"/>
    <m/>
  </r>
  <r>
    <n v="32"/>
    <s v="Xiaomi Mi 11"/>
    <s v="Android"/>
    <n v="197"/>
    <n v="4.5999999999999996"/>
    <n v="1660"/>
    <n v="59"/>
    <n v="975"/>
    <n v="25"/>
    <x v="0"/>
    <s v="Male"/>
    <n v="3"/>
    <s v="Yes"/>
    <x v="0"/>
    <s v="No"/>
    <s v="No"/>
    <m/>
  </r>
  <r>
    <n v="33"/>
    <s v="Google Pixel 5"/>
    <s v="Android"/>
    <n v="278"/>
    <n v="4.7"/>
    <n v="1484"/>
    <n v="55"/>
    <n v="917"/>
    <n v="21"/>
    <x v="2"/>
    <s v="Male"/>
    <n v="3"/>
    <s v="Yes"/>
    <x v="0"/>
    <s v="No"/>
    <s v="No"/>
    <m/>
  </r>
  <r>
    <n v="34"/>
    <s v="Google Pixel 5"/>
    <s v="Android"/>
    <n v="46"/>
    <n v="2"/>
    <n v="457"/>
    <n v="14"/>
    <n v="105"/>
    <n v="58"/>
    <x v="1"/>
    <s v="Male"/>
    <n v="1"/>
    <s v="No"/>
    <x v="2"/>
    <s v="No"/>
    <s v="No"/>
    <m/>
  </r>
  <r>
    <n v="35"/>
    <s v="Xiaomi Mi 11"/>
    <s v="Android"/>
    <n v="593"/>
    <n v="10.199999999999999"/>
    <n v="2499"/>
    <n v="81"/>
    <n v="1616"/>
    <n v="38"/>
    <x v="0"/>
    <s v="Female"/>
    <n v="5"/>
    <s v="Yes"/>
    <x v="0"/>
    <s v="Yes"/>
    <s v="Yes"/>
    <m/>
  </r>
  <r>
    <n v="36"/>
    <s v="Samsung Galaxy S21"/>
    <s v="Android"/>
    <n v="32"/>
    <n v="1.2"/>
    <n v="580"/>
    <n v="19"/>
    <n v="153"/>
    <n v="20"/>
    <x v="2"/>
    <s v="Female"/>
    <n v="1"/>
    <s v="No"/>
    <x v="2"/>
    <s v="No"/>
    <s v="No"/>
    <m/>
  </r>
  <r>
    <n v="37"/>
    <s v="iPhone 12"/>
    <s v="iOS"/>
    <n v="122"/>
    <n v="3.3"/>
    <n v="755"/>
    <n v="30"/>
    <n v="573"/>
    <n v="26"/>
    <x v="0"/>
    <s v="Male"/>
    <n v="2"/>
    <s v="Yes"/>
    <x v="1"/>
    <s v="No"/>
    <s v="No"/>
    <m/>
  </r>
  <r>
    <n v="38"/>
    <s v="Samsung Galaxy S21"/>
    <s v="Android"/>
    <n v="522"/>
    <n v="11.2"/>
    <n v="2808"/>
    <n v="93"/>
    <n v="2328"/>
    <n v="24"/>
    <x v="2"/>
    <s v="Male"/>
    <n v="5"/>
    <s v="Yes"/>
    <x v="0"/>
    <s v="Yes"/>
    <s v="Yes"/>
    <m/>
  </r>
  <r>
    <n v="39"/>
    <s v="OnePlus 9"/>
    <s v="Android"/>
    <n v="473"/>
    <n v="6.4"/>
    <n v="2312"/>
    <n v="74"/>
    <n v="1400"/>
    <n v="40"/>
    <x v="0"/>
    <s v="Male"/>
    <n v="4"/>
    <s v="Yes"/>
    <x v="0"/>
    <s v="Yes"/>
    <s v="Yes"/>
    <m/>
  </r>
  <r>
    <n v="40"/>
    <s v="Samsung Galaxy S21"/>
    <s v="Android"/>
    <n v="398"/>
    <n v="6.2"/>
    <n v="1851"/>
    <n v="77"/>
    <n v="1180"/>
    <n v="23"/>
    <x v="2"/>
    <s v="Male"/>
    <n v="4"/>
    <s v="Yes"/>
    <x v="0"/>
    <s v="No"/>
    <s v="No"/>
    <m/>
  </r>
  <r>
    <n v="41"/>
    <s v="Xiaomi Mi 11"/>
    <s v="Android"/>
    <n v="240"/>
    <n v="4.7"/>
    <n v="1464"/>
    <n v="52"/>
    <n v="708"/>
    <n v="56"/>
    <x v="1"/>
    <s v="Female"/>
    <n v="3"/>
    <s v="Yes"/>
    <x v="0"/>
    <s v="No"/>
    <s v="No"/>
    <m/>
  </r>
  <r>
    <n v="42"/>
    <s v="OnePlus 9"/>
    <s v="Android"/>
    <n v="576"/>
    <n v="10.1"/>
    <n v="2447"/>
    <n v="83"/>
    <n v="2323"/>
    <n v="33"/>
    <x v="0"/>
    <s v="Male"/>
    <n v="5"/>
    <s v="Yes"/>
    <x v="0"/>
    <s v="Yes"/>
    <s v="Yes"/>
    <m/>
  </r>
  <r>
    <n v="43"/>
    <s v="Samsung Galaxy S21"/>
    <s v="Android"/>
    <n v="120"/>
    <n v="2.1"/>
    <n v="720"/>
    <n v="39"/>
    <n v="392"/>
    <n v="43"/>
    <x v="1"/>
    <s v="Male"/>
    <n v="2"/>
    <s v="Yes"/>
    <x v="1"/>
    <s v="No"/>
    <s v="No"/>
    <m/>
  </r>
  <r>
    <n v="44"/>
    <s v="Samsung Galaxy S21"/>
    <s v="Android"/>
    <n v="152"/>
    <n v="3.7"/>
    <n v="993"/>
    <n v="32"/>
    <n v="429"/>
    <n v="18"/>
    <x v="2"/>
    <s v="Male"/>
    <n v="2"/>
    <s v="Yes"/>
    <x v="1"/>
    <s v="No"/>
    <s v="No"/>
    <m/>
  </r>
  <r>
    <n v="45"/>
    <s v="Xiaomi Mi 11"/>
    <s v="Android"/>
    <n v="138"/>
    <n v="2.4"/>
    <n v="837"/>
    <n v="21"/>
    <n v="572"/>
    <n v="56"/>
    <x v="1"/>
    <s v="Female"/>
    <n v="2"/>
    <s v="Yes"/>
    <x v="1"/>
    <s v="No"/>
    <s v="No"/>
    <m/>
  </r>
  <r>
    <n v="46"/>
    <s v="Xiaomi Mi 11"/>
    <s v="Android"/>
    <n v="502"/>
    <n v="10.9"/>
    <n v="2476"/>
    <n v="96"/>
    <n v="1935"/>
    <n v="39"/>
    <x v="0"/>
    <s v="Male"/>
    <n v="5"/>
    <s v="Yes"/>
    <x v="0"/>
    <s v="Yes"/>
    <s v="Yes"/>
    <m/>
  </r>
  <r>
    <n v="47"/>
    <s v="OnePlus 9"/>
    <s v="Android"/>
    <n v="558"/>
    <n v="8.4"/>
    <n v="2447"/>
    <n v="97"/>
    <n v="1594"/>
    <n v="22"/>
    <x v="2"/>
    <s v="Female"/>
    <n v="5"/>
    <s v="Yes"/>
    <x v="0"/>
    <s v="Yes"/>
    <s v="Yes"/>
    <m/>
  </r>
  <r>
    <n v="48"/>
    <s v="Samsung Galaxy S21"/>
    <s v="Android"/>
    <n v="138"/>
    <n v="3.6"/>
    <n v="889"/>
    <n v="25"/>
    <n v="323"/>
    <n v="27"/>
    <x v="0"/>
    <s v="Female"/>
    <n v="2"/>
    <s v="Yes"/>
    <x v="1"/>
    <s v="No"/>
    <s v="No"/>
    <m/>
  </r>
  <r>
    <n v="49"/>
    <s v="Google Pixel 5"/>
    <s v="Android"/>
    <n v="580"/>
    <n v="8.1999999999999993"/>
    <n v="2623"/>
    <n v="90"/>
    <n v="2262"/>
    <n v="49"/>
    <x v="1"/>
    <s v="Male"/>
    <n v="5"/>
    <s v="Yes"/>
    <x v="0"/>
    <s v="Yes"/>
    <s v="Yes"/>
    <m/>
  </r>
  <r>
    <n v="50"/>
    <s v="OnePlus 9"/>
    <s v="Android"/>
    <n v="589"/>
    <n v="8.6999999999999993"/>
    <n v="2736"/>
    <n v="82"/>
    <n v="1997"/>
    <n v="49"/>
    <x v="1"/>
    <s v="Male"/>
    <n v="5"/>
    <s v="Yes"/>
    <x v="0"/>
    <s v="Yes"/>
    <s v="Yes"/>
    <m/>
  </r>
  <r>
    <n v="51"/>
    <s v="Xiaomi Mi 11"/>
    <s v="Android"/>
    <n v="452"/>
    <n v="7.4"/>
    <n v="2180"/>
    <n v="61"/>
    <n v="1417"/>
    <n v="54"/>
    <x v="1"/>
    <s v="Female"/>
    <n v="4"/>
    <s v="Yes"/>
    <x v="0"/>
    <s v="Yes"/>
    <s v="No"/>
    <m/>
  </r>
  <r>
    <n v="52"/>
    <s v="Xiaomi Mi 11"/>
    <s v="Android"/>
    <n v="245"/>
    <n v="5.9"/>
    <n v="1243"/>
    <n v="52"/>
    <n v="885"/>
    <n v="29"/>
    <x v="0"/>
    <s v="Male"/>
    <n v="3"/>
    <s v="Yes"/>
    <x v="0"/>
    <s v="No"/>
    <s v="No"/>
    <m/>
  </r>
  <r>
    <n v="53"/>
    <s v="Samsung Galaxy S21"/>
    <s v="Android"/>
    <n v="125"/>
    <n v="2.7"/>
    <n v="690"/>
    <n v="28"/>
    <n v="393"/>
    <n v="27"/>
    <x v="0"/>
    <s v="Female"/>
    <n v="2"/>
    <s v="Yes"/>
    <x v="1"/>
    <s v="No"/>
    <s v="No"/>
    <m/>
  </r>
  <r>
    <n v="54"/>
    <s v="Xiaomi Mi 11"/>
    <s v="Android"/>
    <n v="97"/>
    <n v="2.2000000000000002"/>
    <n v="1101"/>
    <n v="38"/>
    <n v="375"/>
    <n v="53"/>
    <x v="1"/>
    <s v="Male"/>
    <n v="2"/>
    <s v="Yes"/>
    <x v="1"/>
    <s v="No"/>
    <s v="No"/>
    <m/>
  </r>
  <r>
    <n v="55"/>
    <s v="Google Pixel 5"/>
    <s v="Android"/>
    <n v="516"/>
    <n v="8.6999999999999993"/>
    <n v="2857"/>
    <n v="83"/>
    <n v="2189"/>
    <n v="53"/>
    <x v="1"/>
    <s v="Female"/>
    <n v="5"/>
    <s v="Yes"/>
    <x v="0"/>
    <s v="Yes"/>
    <s v="Yes"/>
    <m/>
  </r>
  <r>
    <n v="56"/>
    <s v="iPhone 12"/>
    <s v="iOS"/>
    <n v="68"/>
    <n v="1.6"/>
    <n v="450"/>
    <n v="14"/>
    <n v="111"/>
    <n v="30"/>
    <x v="0"/>
    <s v="Male"/>
    <n v="1"/>
    <s v="Yes"/>
    <x v="1"/>
    <s v="No"/>
    <s v="No"/>
    <m/>
  </r>
  <r>
    <n v="57"/>
    <s v="OnePlus 9"/>
    <s v="Android"/>
    <n v="64"/>
    <n v="1.1000000000000001"/>
    <n v="572"/>
    <n v="10"/>
    <n v="161"/>
    <n v="42"/>
    <x v="1"/>
    <s v="Female"/>
    <n v="1"/>
    <s v="Yes"/>
    <x v="1"/>
    <s v="No"/>
    <s v="No"/>
    <m/>
  </r>
  <r>
    <n v="58"/>
    <s v="OnePlus 9"/>
    <s v="Android"/>
    <n v="539"/>
    <n v="8.4"/>
    <n v="2796"/>
    <n v="89"/>
    <n v="2415"/>
    <n v="26"/>
    <x v="0"/>
    <s v="Male"/>
    <n v="5"/>
    <s v="Yes"/>
    <x v="0"/>
    <s v="Yes"/>
    <s v="Yes"/>
    <m/>
  </r>
  <r>
    <n v="59"/>
    <s v="Xiaomi Mi 11"/>
    <s v="Android"/>
    <n v="428"/>
    <n v="7"/>
    <n v="2306"/>
    <n v="75"/>
    <n v="1144"/>
    <n v="22"/>
    <x v="2"/>
    <s v="Male"/>
    <n v="4"/>
    <s v="Yes"/>
    <x v="0"/>
    <s v="No"/>
    <s v="Yes"/>
    <m/>
  </r>
  <r>
    <n v="60"/>
    <s v="iPhone 12"/>
    <s v="iOS"/>
    <n v="325"/>
    <n v="7.1"/>
    <n v="2269"/>
    <n v="64"/>
    <n v="1053"/>
    <n v="56"/>
    <x v="1"/>
    <s v="Male"/>
    <n v="4"/>
    <s v="Yes"/>
    <x v="0"/>
    <s v="No"/>
    <s v="Yes"/>
    <m/>
  </r>
  <r>
    <n v="61"/>
    <s v="Xiaomi Mi 11"/>
    <s v="Android"/>
    <n v="522"/>
    <n v="11.9"/>
    <n v="2798"/>
    <n v="85"/>
    <n v="1663"/>
    <n v="28"/>
    <x v="0"/>
    <s v="Female"/>
    <n v="5"/>
    <s v="Yes"/>
    <x v="0"/>
    <s v="Yes"/>
    <s v="Yes"/>
    <m/>
  </r>
  <r>
    <n v="62"/>
    <s v="Xiaomi Mi 11"/>
    <s v="Android"/>
    <n v="309"/>
    <n v="7.5"/>
    <n v="2292"/>
    <n v="77"/>
    <n v="1253"/>
    <n v="57"/>
    <x v="1"/>
    <s v="Female"/>
    <n v="4"/>
    <s v="Yes"/>
    <x v="0"/>
    <s v="No"/>
    <s v="Yes"/>
    <m/>
  </r>
  <r>
    <n v="63"/>
    <s v="Xiaomi Mi 11"/>
    <s v="Android"/>
    <n v="79"/>
    <n v="1.9"/>
    <n v="493"/>
    <n v="14"/>
    <n v="128"/>
    <n v="55"/>
    <x v="1"/>
    <s v="Male"/>
    <n v="1"/>
    <s v="Yes"/>
    <x v="1"/>
    <s v="No"/>
    <s v="No"/>
    <m/>
  </r>
  <r>
    <n v="64"/>
    <s v="Xiaomi Mi 11"/>
    <s v="Android"/>
    <n v="545"/>
    <n v="11.5"/>
    <n v="2911"/>
    <n v="87"/>
    <n v="1717"/>
    <n v="21"/>
    <x v="2"/>
    <s v="Female"/>
    <n v="5"/>
    <s v="Yes"/>
    <x v="0"/>
    <s v="Yes"/>
    <s v="Yes"/>
    <m/>
  </r>
  <r>
    <n v="65"/>
    <s v="Samsung Galaxy S21"/>
    <s v="Android"/>
    <n v="459"/>
    <n v="7"/>
    <n v="1982"/>
    <n v="67"/>
    <n v="1091"/>
    <n v="43"/>
    <x v="1"/>
    <s v="Male"/>
    <n v="4"/>
    <s v="Yes"/>
    <x v="0"/>
    <s v="No"/>
    <s v="No"/>
    <m/>
  </r>
  <r>
    <n v="66"/>
    <s v="iPhone 12"/>
    <s v="iOS"/>
    <n v="225"/>
    <n v="4"/>
    <n v="1420"/>
    <n v="48"/>
    <n v="917"/>
    <n v="56"/>
    <x v="1"/>
    <s v="Male"/>
    <n v="3"/>
    <s v="Yes"/>
    <x v="0"/>
    <s v="No"/>
    <s v="No"/>
    <m/>
  </r>
  <r>
    <n v="67"/>
    <s v="iPhone 12"/>
    <s v="iOS"/>
    <n v="257"/>
    <n v="4.5"/>
    <n v="1705"/>
    <n v="57"/>
    <n v="912"/>
    <n v="55"/>
    <x v="1"/>
    <s v="Male"/>
    <n v="3"/>
    <s v="Yes"/>
    <x v="0"/>
    <s v="No"/>
    <s v="No"/>
    <m/>
  </r>
  <r>
    <n v="68"/>
    <s v="Xiaomi Mi 11"/>
    <s v="Android"/>
    <n v="134"/>
    <n v="4"/>
    <n v="773"/>
    <n v="35"/>
    <n v="449"/>
    <n v="28"/>
    <x v="0"/>
    <s v="Female"/>
    <n v="2"/>
    <s v="Yes"/>
    <x v="1"/>
    <s v="No"/>
    <s v="No"/>
    <m/>
  </r>
  <r>
    <n v="69"/>
    <s v="iPhone 12"/>
    <s v="iOS"/>
    <n v="516"/>
    <n v="10.199999999999999"/>
    <n v="2932"/>
    <n v="98"/>
    <n v="1547"/>
    <n v="31"/>
    <x v="0"/>
    <s v="Male"/>
    <n v="5"/>
    <s v="Yes"/>
    <x v="0"/>
    <s v="Yes"/>
    <s v="Yes"/>
    <m/>
  </r>
  <r>
    <n v="70"/>
    <s v="Google Pixel 5"/>
    <s v="Android"/>
    <n v="82"/>
    <n v="1.7"/>
    <n v="558"/>
    <n v="16"/>
    <n v="284"/>
    <n v="29"/>
    <x v="0"/>
    <s v="Female"/>
    <n v="1"/>
    <s v="Yes"/>
    <x v="1"/>
    <s v="No"/>
    <s v="No"/>
    <m/>
  </r>
  <r>
    <n v="71"/>
    <s v="Samsung Galaxy S21"/>
    <s v="Android"/>
    <n v="452"/>
    <n v="7.2"/>
    <n v="1808"/>
    <n v="64"/>
    <n v="1090"/>
    <n v="45"/>
    <x v="1"/>
    <s v="Female"/>
    <n v="4"/>
    <s v="Yes"/>
    <x v="0"/>
    <s v="No"/>
    <s v="No"/>
    <m/>
  </r>
  <r>
    <n v="72"/>
    <s v="iPhone 12"/>
    <s v="iOS"/>
    <n v="521"/>
    <n v="9"/>
    <n v="2902"/>
    <n v="97"/>
    <n v="1701"/>
    <n v="37"/>
    <x v="0"/>
    <s v="Male"/>
    <n v="5"/>
    <s v="Yes"/>
    <x v="0"/>
    <s v="Yes"/>
    <s v="Yes"/>
    <m/>
  </r>
  <r>
    <n v="73"/>
    <s v="Google Pixel 5"/>
    <s v="Android"/>
    <n v="457"/>
    <n v="6.3"/>
    <n v="2347"/>
    <n v="66"/>
    <n v="1082"/>
    <n v="22"/>
    <x v="2"/>
    <s v="Male"/>
    <n v="4"/>
    <s v="Yes"/>
    <x v="0"/>
    <s v="No"/>
    <s v="Yes"/>
    <m/>
  </r>
  <r>
    <n v="74"/>
    <s v="Xiaomi Mi 11"/>
    <s v="Android"/>
    <n v="31"/>
    <n v="1.1000000000000001"/>
    <n v="585"/>
    <n v="11"/>
    <n v="208"/>
    <n v="50"/>
    <x v="1"/>
    <s v="Female"/>
    <n v="1"/>
    <s v="No"/>
    <x v="2"/>
    <s v="No"/>
    <s v="No"/>
    <m/>
  </r>
  <r>
    <n v="75"/>
    <s v="iPhone 12"/>
    <s v="iOS"/>
    <n v="47"/>
    <n v="2"/>
    <n v="476"/>
    <n v="14"/>
    <n v="125"/>
    <n v="39"/>
    <x v="0"/>
    <s v="Male"/>
    <n v="1"/>
    <s v="No"/>
    <x v="2"/>
    <s v="No"/>
    <s v="No"/>
    <m/>
  </r>
  <r>
    <n v="76"/>
    <s v="Xiaomi Mi 11"/>
    <s v="Android"/>
    <n v="229"/>
    <n v="5.7"/>
    <n v="1305"/>
    <n v="43"/>
    <n v="985"/>
    <n v="23"/>
    <x v="2"/>
    <s v="Female"/>
    <n v="3"/>
    <s v="Yes"/>
    <x v="0"/>
    <s v="No"/>
    <s v="No"/>
    <m/>
  </r>
  <r>
    <n v="77"/>
    <s v="Xiaomi Mi 11"/>
    <s v="Android"/>
    <n v="34"/>
    <n v="2"/>
    <n v="558"/>
    <n v="14"/>
    <n v="122"/>
    <n v="54"/>
    <x v="1"/>
    <s v="Female"/>
    <n v="1"/>
    <s v="No"/>
    <x v="2"/>
    <s v="No"/>
    <s v="No"/>
    <m/>
  </r>
  <r>
    <n v="78"/>
    <s v="Google Pixel 5"/>
    <s v="Android"/>
    <n v="173"/>
    <n v="2.5"/>
    <n v="678"/>
    <n v="29"/>
    <n v="301"/>
    <n v="30"/>
    <x v="0"/>
    <s v="Female"/>
    <n v="2"/>
    <s v="Yes"/>
    <x v="1"/>
    <s v="No"/>
    <s v="No"/>
    <m/>
  </r>
  <r>
    <n v="79"/>
    <s v="Samsung Galaxy S21"/>
    <s v="Android"/>
    <n v="78"/>
    <n v="1.8"/>
    <n v="333"/>
    <n v="17"/>
    <n v="138"/>
    <n v="51"/>
    <x v="1"/>
    <s v="Female"/>
    <n v="1"/>
    <s v="Yes"/>
    <x v="1"/>
    <s v="No"/>
    <s v="No"/>
    <m/>
  </r>
  <r>
    <n v="80"/>
    <s v="Google Pixel 5"/>
    <s v="Android"/>
    <n v="230"/>
    <n v="5.7"/>
    <n v="1254"/>
    <n v="52"/>
    <n v="989"/>
    <n v="34"/>
    <x v="0"/>
    <s v="Female"/>
    <n v="3"/>
    <s v="Yes"/>
    <x v="0"/>
    <s v="No"/>
    <s v="No"/>
    <m/>
  </r>
  <r>
    <n v="81"/>
    <s v="OnePlus 9"/>
    <s v="Android"/>
    <n v="565"/>
    <n v="10.6"/>
    <n v="2475"/>
    <n v="99"/>
    <n v="1603"/>
    <n v="51"/>
    <x v="1"/>
    <s v="Female"/>
    <n v="5"/>
    <s v="Yes"/>
    <x v="0"/>
    <s v="Yes"/>
    <s v="Yes"/>
    <m/>
  </r>
  <r>
    <n v="82"/>
    <s v="iPhone 12"/>
    <s v="iOS"/>
    <n v="172"/>
    <n v="2.8"/>
    <n v="1035"/>
    <n v="22"/>
    <n v="549"/>
    <n v="41"/>
    <x v="1"/>
    <s v="Male"/>
    <n v="2"/>
    <s v="Yes"/>
    <x v="1"/>
    <s v="No"/>
    <s v="No"/>
    <m/>
  </r>
  <r>
    <n v="83"/>
    <s v="Xiaomi Mi 11"/>
    <s v="Android"/>
    <n v="330"/>
    <n v="7.2"/>
    <n v="2363"/>
    <n v="77"/>
    <n v="1133"/>
    <n v="21"/>
    <x v="2"/>
    <s v="Female"/>
    <n v="4"/>
    <s v="Yes"/>
    <x v="0"/>
    <s v="No"/>
    <s v="Yes"/>
    <m/>
  </r>
  <r>
    <n v="84"/>
    <s v="Xiaomi Mi 11"/>
    <s v="Android"/>
    <n v="39"/>
    <n v="1.8"/>
    <n v="368"/>
    <n v="11"/>
    <n v="105"/>
    <n v="19"/>
    <x v="2"/>
    <s v="Male"/>
    <n v="1"/>
    <s v="No"/>
    <x v="2"/>
    <s v="No"/>
    <s v="No"/>
    <m/>
  </r>
  <r>
    <n v="85"/>
    <s v="Google Pixel 5"/>
    <s v="Android"/>
    <n v="223"/>
    <n v="4.5"/>
    <n v="1311"/>
    <n v="56"/>
    <n v="695"/>
    <n v="33"/>
    <x v="0"/>
    <s v="Female"/>
    <n v="3"/>
    <s v="Yes"/>
    <x v="0"/>
    <s v="No"/>
    <s v="No"/>
    <m/>
  </r>
  <r>
    <n v="86"/>
    <s v="Google Pixel 5"/>
    <s v="Android"/>
    <n v="404"/>
    <n v="7.4"/>
    <n v="2081"/>
    <n v="63"/>
    <n v="1352"/>
    <n v="44"/>
    <x v="1"/>
    <s v="Male"/>
    <n v="4"/>
    <s v="Yes"/>
    <x v="0"/>
    <s v="Yes"/>
    <s v="No"/>
    <m/>
  </r>
  <r>
    <n v="87"/>
    <s v="Samsung Galaxy S21"/>
    <s v="Android"/>
    <n v="151"/>
    <n v="2.4"/>
    <n v="1003"/>
    <n v="25"/>
    <n v="392"/>
    <n v="39"/>
    <x v="0"/>
    <s v="Male"/>
    <n v="2"/>
    <s v="Yes"/>
    <x v="1"/>
    <s v="No"/>
    <s v="No"/>
    <m/>
  </r>
  <r>
    <n v="88"/>
    <s v="Samsung Galaxy S21"/>
    <s v="Android"/>
    <n v="34"/>
    <n v="1.5"/>
    <n v="345"/>
    <n v="11"/>
    <n v="276"/>
    <n v="44"/>
    <x v="1"/>
    <s v="Male"/>
    <n v="1"/>
    <s v="No"/>
    <x v="2"/>
    <s v="No"/>
    <s v="No"/>
    <m/>
  </r>
  <r>
    <n v="89"/>
    <s v="Xiaomi Mi 11"/>
    <s v="Android"/>
    <n v="137"/>
    <n v="3.3"/>
    <n v="839"/>
    <n v="31"/>
    <n v="348"/>
    <n v="34"/>
    <x v="0"/>
    <s v="Female"/>
    <n v="2"/>
    <s v="Yes"/>
    <x v="1"/>
    <s v="No"/>
    <s v="No"/>
    <m/>
  </r>
  <r>
    <n v="90"/>
    <s v="Samsung Galaxy S21"/>
    <s v="Android"/>
    <n v="301"/>
    <n v="6.2"/>
    <n v="2053"/>
    <n v="75"/>
    <n v="1303"/>
    <n v="45"/>
    <x v="1"/>
    <s v="Male"/>
    <n v="4"/>
    <s v="Yes"/>
    <x v="0"/>
    <s v="No"/>
    <s v="No"/>
    <m/>
  </r>
  <r>
    <n v="91"/>
    <s v="Google Pixel 5"/>
    <s v="Android"/>
    <n v="116"/>
    <n v="2.1"/>
    <n v="912"/>
    <n v="39"/>
    <n v="307"/>
    <n v="40"/>
    <x v="0"/>
    <s v="Female"/>
    <n v="2"/>
    <s v="Yes"/>
    <x v="1"/>
    <s v="No"/>
    <s v="No"/>
    <m/>
  </r>
  <r>
    <n v="92"/>
    <s v="Google Pixel 5"/>
    <s v="Android"/>
    <n v="291"/>
    <n v="4.0999999999999996"/>
    <n v="1474"/>
    <n v="46"/>
    <n v="827"/>
    <n v="32"/>
    <x v="0"/>
    <s v="Female"/>
    <n v="3"/>
    <s v="Yes"/>
    <x v="0"/>
    <s v="No"/>
    <s v="No"/>
    <m/>
  </r>
  <r>
    <n v="93"/>
    <s v="iPhone 12"/>
    <s v="iOS"/>
    <n v="84"/>
    <n v="1.4"/>
    <n v="501"/>
    <n v="16"/>
    <n v="284"/>
    <n v="56"/>
    <x v="1"/>
    <s v="Female"/>
    <n v="1"/>
    <s v="Yes"/>
    <x v="1"/>
    <s v="No"/>
    <s v="No"/>
    <m/>
  </r>
  <r>
    <n v="94"/>
    <s v="iPhone 12"/>
    <s v="iOS"/>
    <n v="134"/>
    <n v="2.5"/>
    <n v="1125"/>
    <n v="24"/>
    <n v="367"/>
    <n v="35"/>
    <x v="0"/>
    <s v="Male"/>
    <n v="2"/>
    <s v="Yes"/>
    <x v="1"/>
    <s v="No"/>
    <s v="No"/>
    <m/>
  </r>
  <r>
    <n v="95"/>
    <s v="Samsung Galaxy S21"/>
    <s v="Android"/>
    <n v="411"/>
    <n v="7.5"/>
    <n v="2169"/>
    <n v="72"/>
    <n v="1083"/>
    <n v="58"/>
    <x v="1"/>
    <s v="Male"/>
    <n v="4"/>
    <s v="Yes"/>
    <x v="0"/>
    <s v="No"/>
    <s v="No"/>
    <m/>
  </r>
  <r>
    <n v="96"/>
    <s v="Xiaomi Mi 11"/>
    <s v="Android"/>
    <n v="326"/>
    <n v="7.2"/>
    <n v="2243"/>
    <n v="73"/>
    <n v="1454"/>
    <n v="50"/>
    <x v="1"/>
    <s v="Male"/>
    <n v="4"/>
    <s v="Yes"/>
    <x v="0"/>
    <s v="Yes"/>
    <s v="Yes"/>
    <m/>
  </r>
  <r>
    <n v="97"/>
    <s v="iPhone 12"/>
    <s v="iOS"/>
    <n v="550"/>
    <n v="9.5"/>
    <n v="2916"/>
    <n v="91"/>
    <n v="1946"/>
    <n v="20"/>
    <x v="2"/>
    <s v="Male"/>
    <n v="5"/>
    <s v="Yes"/>
    <x v="0"/>
    <s v="Yes"/>
    <s v="Yes"/>
    <m/>
  </r>
  <r>
    <n v="98"/>
    <s v="OnePlus 9"/>
    <s v="Android"/>
    <n v="516"/>
    <n v="12"/>
    <n v="2406"/>
    <n v="82"/>
    <n v="1968"/>
    <n v="28"/>
    <x v="0"/>
    <s v="Female"/>
    <n v="5"/>
    <s v="Yes"/>
    <x v="0"/>
    <s v="Yes"/>
    <s v="Yes"/>
    <m/>
  </r>
  <r>
    <n v="99"/>
    <s v="Google Pixel 5"/>
    <s v="Android"/>
    <n v="59"/>
    <n v="1.2"/>
    <n v="361"/>
    <n v="18"/>
    <n v="293"/>
    <n v="25"/>
    <x v="0"/>
    <s v="Female"/>
    <n v="1"/>
    <s v="No"/>
    <x v="2"/>
    <s v="No"/>
    <s v="No"/>
    <m/>
  </r>
  <r>
    <n v="100"/>
    <s v="OnePlus 9"/>
    <s v="Android"/>
    <n v="225"/>
    <n v="5.5"/>
    <n v="1526"/>
    <n v="44"/>
    <n v="875"/>
    <n v="50"/>
    <x v="1"/>
    <s v="Female"/>
    <n v="3"/>
    <s v="Yes"/>
    <x v="0"/>
    <s v="No"/>
    <s v="No"/>
    <m/>
  </r>
  <r>
    <n v="101"/>
    <s v="Google Pixel 5"/>
    <s v="Android"/>
    <n v="41"/>
    <n v="1.1000000000000001"/>
    <n v="389"/>
    <n v="15"/>
    <n v="136"/>
    <n v="53"/>
    <x v="1"/>
    <s v="Male"/>
    <n v="1"/>
    <s v="No"/>
    <x v="2"/>
    <s v="No"/>
    <s v="No"/>
    <m/>
  </r>
  <r>
    <n v="102"/>
    <s v="OnePlus 9"/>
    <s v="Android"/>
    <n v="183"/>
    <n v="4.0999999999999996"/>
    <n v="1210"/>
    <n v="45"/>
    <n v="738"/>
    <n v="19"/>
    <x v="2"/>
    <s v="Male"/>
    <n v="3"/>
    <s v="Yes"/>
    <x v="0"/>
    <s v="No"/>
    <s v="No"/>
    <m/>
  </r>
  <r>
    <n v="103"/>
    <s v="Google Pixel 5"/>
    <s v="Android"/>
    <n v="174"/>
    <n v="2.5"/>
    <n v="929"/>
    <n v="37"/>
    <n v="565"/>
    <n v="32"/>
    <x v="0"/>
    <s v="Female"/>
    <n v="2"/>
    <s v="Yes"/>
    <x v="1"/>
    <s v="No"/>
    <s v="No"/>
    <m/>
  </r>
  <r>
    <n v="104"/>
    <s v="Xiaomi Mi 11"/>
    <s v="Android"/>
    <n v="274"/>
    <n v="4.2"/>
    <n v="1781"/>
    <n v="52"/>
    <n v="934"/>
    <n v="28"/>
    <x v="0"/>
    <s v="Male"/>
    <n v="3"/>
    <s v="Yes"/>
    <x v="0"/>
    <s v="No"/>
    <s v="No"/>
    <m/>
  </r>
  <r>
    <n v="105"/>
    <s v="Xiaomi Mi 11"/>
    <s v="Android"/>
    <n v="166"/>
    <n v="2.8"/>
    <n v="1113"/>
    <n v="28"/>
    <n v="360"/>
    <n v="25"/>
    <x v="0"/>
    <s v="Male"/>
    <n v="2"/>
    <s v="Yes"/>
    <x v="1"/>
    <s v="No"/>
    <s v="No"/>
    <m/>
  </r>
  <r>
    <n v="106"/>
    <s v="Xiaomi Mi 11"/>
    <s v="Android"/>
    <n v="66"/>
    <n v="1.2"/>
    <n v="585"/>
    <n v="12"/>
    <n v="264"/>
    <n v="36"/>
    <x v="0"/>
    <s v="Male"/>
    <n v="1"/>
    <s v="Yes"/>
    <x v="1"/>
    <s v="No"/>
    <s v="No"/>
    <m/>
  </r>
  <r>
    <n v="107"/>
    <s v="Google Pixel 5"/>
    <s v="Android"/>
    <n v="152"/>
    <n v="2.7"/>
    <n v="642"/>
    <n v="38"/>
    <n v="596"/>
    <n v="55"/>
    <x v="1"/>
    <s v="Male"/>
    <n v="2"/>
    <s v="Yes"/>
    <x v="1"/>
    <s v="No"/>
    <s v="No"/>
    <m/>
  </r>
  <r>
    <n v="108"/>
    <s v="Google Pixel 5"/>
    <s v="Android"/>
    <n v="54"/>
    <n v="1.4"/>
    <n v="403"/>
    <n v="17"/>
    <n v="278"/>
    <n v="23"/>
    <x v="2"/>
    <s v="Female"/>
    <n v="1"/>
    <s v="No"/>
    <x v="2"/>
    <s v="No"/>
    <s v="No"/>
    <m/>
  </r>
  <r>
    <n v="109"/>
    <s v="Xiaomi Mi 11"/>
    <s v="Android"/>
    <n v="187"/>
    <n v="5.5"/>
    <n v="1754"/>
    <n v="55"/>
    <n v="711"/>
    <n v="50"/>
    <x v="1"/>
    <s v="Female"/>
    <n v="3"/>
    <s v="Yes"/>
    <x v="0"/>
    <s v="No"/>
    <s v="No"/>
    <m/>
  </r>
  <r>
    <n v="110"/>
    <s v="OnePlus 9"/>
    <s v="Android"/>
    <n v="216"/>
    <n v="6"/>
    <n v="1641"/>
    <n v="41"/>
    <n v="889"/>
    <n v="39"/>
    <x v="0"/>
    <s v="Female"/>
    <n v="3"/>
    <s v="Yes"/>
    <x v="0"/>
    <s v="No"/>
    <s v="No"/>
    <m/>
  </r>
  <r>
    <n v="111"/>
    <s v="OnePlus 9"/>
    <s v="Android"/>
    <n v="95"/>
    <n v="3.8"/>
    <n v="718"/>
    <n v="26"/>
    <n v="459"/>
    <n v="41"/>
    <x v="1"/>
    <s v="Female"/>
    <n v="2"/>
    <s v="Yes"/>
    <x v="1"/>
    <s v="No"/>
    <s v="No"/>
    <m/>
  </r>
  <r>
    <n v="112"/>
    <s v="Xiaomi Mi 11"/>
    <s v="Android"/>
    <n v="488"/>
    <n v="8.6"/>
    <n v="2447"/>
    <n v="84"/>
    <n v="2344"/>
    <n v="19"/>
    <x v="2"/>
    <s v="Male"/>
    <n v="5"/>
    <s v="Yes"/>
    <x v="0"/>
    <s v="Yes"/>
    <s v="Yes"/>
    <m/>
  </r>
  <r>
    <n v="113"/>
    <s v="Google Pixel 5"/>
    <s v="Android"/>
    <n v="295"/>
    <n v="5.0999999999999996"/>
    <n v="1483"/>
    <n v="45"/>
    <n v="748"/>
    <n v="27"/>
    <x v="0"/>
    <s v="Female"/>
    <n v="3"/>
    <s v="Yes"/>
    <x v="0"/>
    <s v="No"/>
    <s v="No"/>
    <m/>
  </r>
  <r>
    <n v="114"/>
    <s v="Samsung Galaxy S21"/>
    <s v="Android"/>
    <n v="136"/>
    <n v="3.2"/>
    <n v="818"/>
    <n v="33"/>
    <n v="404"/>
    <n v="42"/>
    <x v="1"/>
    <s v="Male"/>
    <n v="2"/>
    <s v="Yes"/>
    <x v="1"/>
    <s v="No"/>
    <s v="No"/>
    <m/>
  </r>
  <r>
    <n v="115"/>
    <s v="Xiaomi Mi 11"/>
    <s v="Android"/>
    <n v="471"/>
    <n v="7.9"/>
    <n v="2156"/>
    <n v="76"/>
    <n v="1324"/>
    <n v="54"/>
    <x v="1"/>
    <s v="Female"/>
    <n v="4"/>
    <s v="Yes"/>
    <x v="0"/>
    <s v="No"/>
    <s v="No"/>
    <m/>
  </r>
  <r>
    <n v="116"/>
    <s v="iPhone 12"/>
    <s v="iOS"/>
    <n v="121"/>
    <n v="3.2"/>
    <n v="651"/>
    <n v="34"/>
    <n v="596"/>
    <n v="39"/>
    <x v="0"/>
    <s v="Male"/>
    <n v="2"/>
    <s v="Yes"/>
    <x v="1"/>
    <s v="No"/>
    <s v="No"/>
    <m/>
  </r>
  <r>
    <n v="117"/>
    <s v="iPhone 12"/>
    <s v="iOS"/>
    <n v="75"/>
    <n v="1.2"/>
    <n v="409"/>
    <n v="13"/>
    <n v="281"/>
    <n v="18"/>
    <x v="2"/>
    <s v="Male"/>
    <n v="1"/>
    <s v="Yes"/>
    <x v="1"/>
    <s v="No"/>
    <s v="No"/>
    <m/>
  </r>
  <r>
    <n v="118"/>
    <s v="iPhone 12"/>
    <s v="iOS"/>
    <n v="220"/>
    <n v="5.2"/>
    <n v="1631"/>
    <n v="49"/>
    <n v="909"/>
    <n v="27"/>
    <x v="0"/>
    <s v="Female"/>
    <n v="3"/>
    <s v="Yes"/>
    <x v="0"/>
    <s v="No"/>
    <s v="No"/>
    <m/>
  </r>
  <r>
    <n v="119"/>
    <s v="Samsung Galaxy S21"/>
    <s v="Android"/>
    <n v="82"/>
    <n v="1.6"/>
    <n v="590"/>
    <n v="13"/>
    <n v="124"/>
    <n v="28"/>
    <x v="0"/>
    <s v="Female"/>
    <n v="1"/>
    <s v="Yes"/>
    <x v="1"/>
    <s v="No"/>
    <s v="No"/>
    <m/>
  </r>
  <r>
    <n v="120"/>
    <s v="Google Pixel 5"/>
    <s v="Android"/>
    <n v="97"/>
    <n v="2.7"/>
    <n v="1018"/>
    <n v="37"/>
    <n v="428"/>
    <n v="41"/>
    <x v="1"/>
    <s v="Male"/>
    <n v="2"/>
    <s v="Yes"/>
    <x v="1"/>
    <s v="No"/>
    <s v="No"/>
    <m/>
  </r>
  <r>
    <n v="121"/>
    <s v="Samsung Galaxy S21"/>
    <s v="Android"/>
    <n v="388"/>
    <n v="6.6"/>
    <n v="2085"/>
    <n v="71"/>
    <n v="1150"/>
    <n v="45"/>
    <x v="1"/>
    <s v="Female"/>
    <n v="4"/>
    <s v="Yes"/>
    <x v="0"/>
    <s v="No"/>
    <s v="No"/>
    <m/>
  </r>
  <r>
    <n v="122"/>
    <s v="OnePlus 9"/>
    <s v="Android"/>
    <n v="529"/>
    <n v="8.6999999999999993"/>
    <n v="2484"/>
    <n v="89"/>
    <n v="2189"/>
    <n v="39"/>
    <x v="0"/>
    <s v="Female"/>
    <n v="5"/>
    <s v="Yes"/>
    <x v="0"/>
    <s v="Yes"/>
    <s v="Yes"/>
    <m/>
  </r>
  <r>
    <n v="123"/>
    <s v="Google Pixel 5"/>
    <s v="Android"/>
    <n v="584"/>
    <n v="10"/>
    <n v="2541"/>
    <n v="99"/>
    <n v="2391"/>
    <n v="49"/>
    <x v="1"/>
    <s v="Female"/>
    <n v="5"/>
    <s v="Yes"/>
    <x v="0"/>
    <s v="Yes"/>
    <s v="Yes"/>
    <m/>
  </r>
  <r>
    <n v="124"/>
    <s v="Google Pixel 5"/>
    <s v="Android"/>
    <n v="529"/>
    <n v="8.1"/>
    <n v="2686"/>
    <n v="96"/>
    <n v="1924"/>
    <n v="35"/>
    <x v="0"/>
    <s v="Male"/>
    <n v="5"/>
    <s v="Yes"/>
    <x v="0"/>
    <s v="Yes"/>
    <s v="Yes"/>
    <m/>
  </r>
  <r>
    <n v="125"/>
    <s v="Google Pixel 5"/>
    <s v="Android"/>
    <n v="227"/>
    <n v="5.0999999999999996"/>
    <n v="1702"/>
    <n v="57"/>
    <n v="714"/>
    <n v="21"/>
    <x v="2"/>
    <s v="Male"/>
    <n v="3"/>
    <s v="Yes"/>
    <x v="0"/>
    <s v="No"/>
    <s v="No"/>
    <m/>
  </r>
  <r>
    <n v="126"/>
    <s v="Samsung Galaxy S21"/>
    <s v="Android"/>
    <n v="535"/>
    <n v="11.8"/>
    <n v="2858"/>
    <n v="99"/>
    <n v="2378"/>
    <n v="50"/>
    <x v="1"/>
    <s v="Male"/>
    <n v="5"/>
    <s v="Yes"/>
    <x v="0"/>
    <s v="Yes"/>
    <s v="Yes"/>
    <m/>
  </r>
  <r>
    <n v="127"/>
    <s v="iPhone 12"/>
    <s v="iOS"/>
    <n v="332"/>
    <n v="7.4"/>
    <n v="2149"/>
    <n v="68"/>
    <n v="1321"/>
    <n v="20"/>
    <x v="2"/>
    <s v="Female"/>
    <n v="4"/>
    <s v="Yes"/>
    <x v="0"/>
    <s v="No"/>
    <s v="No"/>
    <m/>
  </r>
  <r>
    <n v="128"/>
    <s v="Google Pixel 5"/>
    <s v="Android"/>
    <n v="252"/>
    <n v="4.2"/>
    <n v="1439"/>
    <n v="45"/>
    <n v="667"/>
    <n v="50"/>
    <x v="1"/>
    <s v="Female"/>
    <n v="3"/>
    <s v="Yes"/>
    <x v="0"/>
    <s v="No"/>
    <s v="No"/>
    <m/>
  </r>
  <r>
    <n v="129"/>
    <s v="Xiaomi Mi 11"/>
    <s v="Android"/>
    <n v="125"/>
    <n v="2.5"/>
    <n v="678"/>
    <n v="34"/>
    <n v="465"/>
    <n v="31"/>
    <x v="0"/>
    <s v="Male"/>
    <n v="2"/>
    <s v="Yes"/>
    <x v="1"/>
    <s v="No"/>
    <s v="No"/>
    <m/>
  </r>
  <r>
    <n v="130"/>
    <s v="Xiaomi Mi 11"/>
    <s v="Android"/>
    <n v="97"/>
    <n v="3.3"/>
    <n v="751"/>
    <n v="39"/>
    <n v="412"/>
    <n v="36"/>
    <x v="0"/>
    <s v="Female"/>
    <n v="2"/>
    <s v="Yes"/>
    <x v="1"/>
    <s v="No"/>
    <s v="No"/>
    <m/>
  </r>
  <r>
    <n v="131"/>
    <s v="Google Pixel 5"/>
    <s v="Android"/>
    <n v="540"/>
    <n v="10.8"/>
    <n v="2923"/>
    <n v="90"/>
    <n v="1886"/>
    <n v="40"/>
    <x v="0"/>
    <s v="Male"/>
    <n v="5"/>
    <s v="Yes"/>
    <x v="0"/>
    <s v="Yes"/>
    <s v="Yes"/>
    <m/>
  </r>
  <r>
    <n v="132"/>
    <s v="Xiaomi Mi 11"/>
    <s v="Android"/>
    <n v="320"/>
    <n v="7.2"/>
    <n v="2056"/>
    <n v="69"/>
    <n v="1226"/>
    <n v="52"/>
    <x v="1"/>
    <s v="Female"/>
    <n v="4"/>
    <s v="Yes"/>
    <x v="0"/>
    <s v="No"/>
    <s v="No"/>
    <m/>
  </r>
  <r>
    <n v="133"/>
    <s v="Google Pixel 5"/>
    <s v="Android"/>
    <n v="176"/>
    <n v="3.6"/>
    <n v="1193"/>
    <n v="30"/>
    <n v="458"/>
    <n v="40"/>
    <x v="0"/>
    <s v="Female"/>
    <n v="2"/>
    <s v="Yes"/>
    <x v="1"/>
    <s v="No"/>
    <s v="No"/>
    <m/>
  </r>
  <r>
    <n v="134"/>
    <s v="Samsung Galaxy S21"/>
    <s v="Android"/>
    <n v="79"/>
    <n v="1"/>
    <n v="313"/>
    <n v="18"/>
    <n v="139"/>
    <n v="42"/>
    <x v="1"/>
    <s v="Male"/>
    <n v="1"/>
    <s v="Yes"/>
    <x v="1"/>
    <s v="No"/>
    <s v="No"/>
    <m/>
  </r>
  <r>
    <n v="135"/>
    <s v="Xiaomi Mi 11"/>
    <s v="Android"/>
    <n v="83"/>
    <n v="1.6"/>
    <n v="303"/>
    <n v="19"/>
    <n v="285"/>
    <n v="51"/>
    <x v="1"/>
    <s v="Male"/>
    <n v="1"/>
    <s v="Yes"/>
    <x v="1"/>
    <s v="No"/>
    <s v="No"/>
    <m/>
  </r>
  <r>
    <n v="136"/>
    <s v="iPhone 12"/>
    <s v="iOS"/>
    <n v="555"/>
    <n v="11.3"/>
    <n v="2528"/>
    <n v="90"/>
    <n v="1856"/>
    <n v="55"/>
    <x v="1"/>
    <s v="Female"/>
    <n v="5"/>
    <s v="Yes"/>
    <x v="0"/>
    <s v="Yes"/>
    <s v="Yes"/>
    <m/>
  </r>
  <r>
    <n v="137"/>
    <s v="Samsung Galaxy S21"/>
    <s v="Android"/>
    <n v="66"/>
    <n v="1.7"/>
    <n v="375"/>
    <n v="16"/>
    <n v="216"/>
    <n v="39"/>
    <x v="0"/>
    <s v="Male"/>
    <n v="1"/>
    <s v="Yes"/>
    <x v="1"/>
    <s v="No"/>
    <s v="No"/>
    <m/>
  </r>
  <r>
    <n v="138"/>
    <s v="Xiaomi Mi 11"/>
    <s v="Android"/>
    <n v="237"/>
    <n v="4.5"/>
    <n v="1368"/>
    <n v="42"/>
    <n v="868"/>
    <n v="24"/>
    <x v="2"/>
    <s v="Female"/>
    <n v="3"/>
    <s v="Yes"/>
    <x v="0"/>
    <s v="No"/>
    <s v="No"/>
    <m/>
  </r>
  <r>
    <n v="139"/>
    <s v="Samsung Galaxy S21"/>
    <s v="Android"/>
    <n v="497"/>
    <n v="9.6999999999999993"/>
    <n v="2876"/>
    <n v="94"/>
    <n v="2076"/>
    <n v="18"/>
    <x v="2"/>
    <s v="Male"/>
    <n v="5"/>
    <s v="Yes"/>
    <x v="0"/>
    <s v="Yes"/>
    <s v="Yes"/>
    <m/>
  </r>
  <r>
    <n v="140"/>
    <s v="Google Pixel 5"/>
    <s v="Android"/>
    <n v="516"/>
    <n v="11.1"/>
    <n v="2429"/>
    <n v="91"/>
    <n v="1796"/>
    <n v="53"/>
    <x v="1"/>
    <s v="Male"/>
    <n v="5"/>
    <s v="Yes"/>
    <x v="0"/>
    <s v="Yes"/>
    <s v="Yes"/>
    <m/>
  </r>
  <r>
    <n v="141"/>
    <s v="Xiaomi Mi 11"/>
    <s v="Android"/>
    <n v="219"/>
    <n v="5.2"/>
    <n v="1510"/>
    <n v="42"/>
    <n v="655"/>
    <n v="50"/>
    <x v="1"/>
    <s v="Female"/>
    <n v="3"/>
    <s v="Yes"/>
    <x v="0"/>
    <s v="No"/>
    <s v="No"/>
    <m/>
  </r>
  <r>
    <n v="142"/>
    <s v="Google Pixel 5"/>
    <s v="Android"/>
    <n v="448"/>
    <n v="6.3"/>
    <n v="2044"/>
    <n v="71"/>
    <n v="1337"/>
    <n v="51"/>
    <x v="1"/>
    <s v="Male"/>
    <n v="4"/>
    <s v="Yes"/>
    <x v="0"/>
    <s v="No"/>
    <s v="No"/>
    <m/>
  </r>
  <r>
    <n v="143"/>
    <s v="iPhone 12"/>
    <s v="iOS"/>
    <n v="156"/>
    <n v="2.2000000000000002"/>
    <n v="896"/>
    <n v="37"/>
    <n v="429"/>
    <n v="57"/>
    <x v="1"/>
    <s v="Female"/>
    <n v="2"/>
    <s v="Yes"/>
    <x v="1"/>
    <s v="No"/>
    <s v="No"/>
    <m/>
  </r>
  <r>
    <n v="144"/>
    <s v="Samsung Galaxy S21"/>
    <s v="Android"/>
    <n v="68"/>
    <n v="1.1000000000000001"/>
    <n v="528"/>
    <n v="12"/>
    <n v="201"/>
    <n v="29"/>
    <x v="0"/>
    <s v="Male"/>
    <n v="1"/>
    <s v="Yes"/>
    <x v="1"/>
    <s v="No"/>
    <s v="No"/>
    <m/>
  </r>
  <r>
    <n v="145"/>
    <s v="iPhone 12"/>
    <s v="iOS"/>
    <n v="524"/>
    <n v="11.2"/>
    <n v="2417"/>
    <n v="90"/>
    <n v="2069"/>
    <n v="29"/>
    <x v="0"/>
    <s v="Female"/>
    <n v="5"/>
    <s v="Yes"/>
    <x v="0"/>
    <s v="Yes"/>
    <s v="Yes"/>
    <m/>
  </r>
  <r>
    <n v="146"/>
    <s v="iPhone 12"/>
    <s v="iOS"/>
    <n v="188"/>
    <n v="5.3"/>
    <n v="1281"/>
    <n v="45"/>
    <n v="974"/>
    <n v="35"/>
    <x v="0"/>
    <s v="Male"/>
    <n v="3"/>
    <s v="Yes"/>
    <x v="0"/>
    <s v="No"/>
    <s v="No"/>
    <m/>
  </r>
  <r>
    <n v="147"/>
    <s v="Samsung Galaxy S21"/>
    <s v="Android"/>
    <n v="443"/>
    <n v="7.4"/>
    <n v="2289"/>
    <n v="73"/>
    <n v="1026"/>
    <n v="33"/>
    <x v="0"/>
    <s v="Male"/>
    <n v="4"/>
    <s v="Yes"/>
    <x v="0"/>
    <s v="No"/>
    <s v="Yes"/>
    <m/>
  </r>
  <r>
    <n v="148"/>
    <s v="Xiaomi Mi 11"/>
    <s v="Android"/>
    <n v="52"/>
    <n v="1.6"/>
    <n v="385"/>
    <n v="19"/>
    <n v="234"/>
    <n v="24"/>
    <x v="2"/>
    <s v="Male"/>
    <n v="1"/>
    <s v="No"/>
    <x v="2"/>
    <s v="No"/>
    <s v="No"/>
    <m/>
  </r>
  <r>
    <n v="149"/>
    <s v="OnePlus 9"/>
    <s v="Android"/>
    <n v="228"/>
    <n v="4.2"/>
    <n v="1677"/>
    <n v="58"/>
    <n v="823"/>
    <n v="56"/>
    <x v="1"/>
    <s v="Male"/>
    <n v="3"/>
    <s v="Yes"/>
    <x v="0"/>
    <s v="No"/>
    <s v="No"/>
    <m/>
  </r>
  <r>
    <n v="150"/>
    <s v="Google Pixel 5"/>
    <s v="Android"/>
    <n v="149"/>
    <n v="3.7"/>
    <n v="873"/>
    <n v="34"/>
    <n v="459"/>
    <n v="51"/>
    <x v="1"/>
    <s v="Male"/>
    <n v="2"/>
    <s v="Yes"/>
    <x v="1"/>
    <s v="No"/>
    <s v="No"/>
    <m/>
  </r>
  <r>
    <n v="151"/>
    <s v="iPhone 12"/>
    <s v="iOS"/>
    <n v="523"/>
    <n v="9.4"/>
    <n v="2583"/>
    <n v="92"/>
    <n v="1539"/>
    <n v="21"/>
    <x v="2"/>
    <s v="Male"/>
    <n v="5"/>
    <s v="Yes"/>
    <x v="0"/>
    <s v="Yes"/>
    <s v="Yes"/>
    <m/>
  </r>
  <r>
    <n v="152"/>
    <s v="Samsung Galaxy S21"/>
    <s v="Android"/>
    <n v="42"/>
    <n v="1.6"/>
    <n v="315"/>
    <n v="19"/>
    <n v="207"/>
    <n v="52"/>
    <x v="1"/>
    <s v="Female"/>
    <n v="1"/>
    <s v="No"/>
    <x v="2"/>
    <s v="No"/>
    <s v="No"/>
    <m/>
  </r>
  <r>
    <n v="153"/>
    <s v="Google Pixel 5"/>
    <s v="Android"/>
    <n v="120"/>
    <n v="2"/>
    <n v="741"/>
    <n v="38"/>
    <n v="396"/>
    <n v="56"/>
    <x v="1"/>
    <s v="Female"/>
    <n v="2"/>
    <s v="Yes"/>
    <x v="1"/>
    <s v="No"/>
    <s v="No"/>
    <m/>
  </r>
  <r>
    <n v="154"/>
    <s v="OnePlus 9"/>
    <s v="Android"/>
    <n v="329"/>
    <n v="7.5"/>
    <n v="2277"/>
    <n v="72"/>
    <n v="1185"/>
    <n v="27"/>
    <x v="0"/>
    <s v="Female"/>
    <n v="4"/>
    <s v="Yes"/>
    <x v="0"/>
    <s v="No"/>
    <s v="Yes"/>
    <m/>
  </r>
  <r>
    <n v="155"/>
    <s v="Xiaomi Mi 11"/>
    <s v="Android"/>
    <n v="68"/>
    <n v="1.5"/>
    <n v="364"/>
    <n v="10"/>
    <n v="102"/>
    <n v="31"/>
    <x v="0"/>
    <s v="Female"/>
    <n v="1"/>
    <s v="Yes"/>
    <x v="1"/>
    <s v="No"/>
    <s v="No"/>
    <m/>
  </r>
  <r>
    <n v="156"/>
    <s v="Xiaomi Mi 11"/>
    <s v="Android"/>
    <n v="158"/>
    <n v="3.4"/>
    <n v="893"/>
    <n v="36"/>
    <n v="493"/>
    <n v="32"/>
    <x v="0"/>
    <s v="Male"/>
    <n v="2"/>
    <s v="Yes"/>
    <x v="1"/>
    <s v="No"/>
    <s v="No"/>
    <m/>
  </r>
  <r>
    <n v="157"/>
    <s v="Xiaomi Mi 11"/>
    <s v="Android"/>
    <n v="86"/>
    <n v="1.7"/>
    <n v="439"/>
    <n v="19"/>
    <n v="136"/>
    <n v="54"/>
    <x v="1"/>
    <s v="Male"/>
    <n v="1"/>
    <s v="Yes"/>
    <x v="1"/>
    <s v="No"/>
    <s v="No"/>
    <m/>
  </r>
  <r>
    <n v="158"/>
    <s v="Xiaomi Mi 11"/>
    <s v="Android"/>
    <n v="339"/>
    <n v="7.8"/>
    <n v="2102"/>
    <n v="71"/>
    <n v="1062"/>
    <n v="51"/>
    <x v="1"/>
    <s v="Male"/>
    <n v="4"/>
    <s v="Yes"/>
    <x v="0"/>
    <s v="No"/>
    <s v="No"/>
    <m/>
  </r>
  <r>
    <n v="159"/>
    <s v="Samsung Galaxy S21"/>
    <s v="Android"/>
    <n v="304"/>
    <n v="6.5"/>
    <n v="2375"/>
    <n v="79"/>
    <n v="1493"/>
    <n v="51"/>
    <x v="1"/>
    <s v="Male"/>
    <n v="4"/>
    <s v="Yes"/>
    <x v="0"/>
    <s v="Yes"/>
    <s v="Yes"/>
    <m/>
  </r>
  <r>
    <n v="160"/>
    <s v="Xiaomi Mi 11"/>
    <s v="Android"/>
    <n v="131"/>
    <n v="2.4"/>
    <n v="859"/>
    <n v="26"/>
    <n v="305"/>
    <n v="40"/>
    <x v="0"/>
    <s v="Male"/>
    <n v="2"/>
    <s v="Yes"/>
    <x v="1"/>
    <s v="No"/>
    <s v="No"/>
    <m/>
  </r>
  <r>
    <n v="161"/>
    <s v="Samsung Galaxy S21"/>
    <s v="Android"/>
    <n v="64"/>
    <n v="1.6"/>
    <n v="540"/>
    <n v="19"/>
    <n v="262"/>
    <n v="35"/>
    <x v="0"/>
    <s v="Female"/>
    <n v="1"/>
    <s v="Yes"/>
    <x v="1"/>
    <s v="No"/>
    <s v="No"/>
    <m/>
  </r>
  <r>
    <n v="162"/>
    <s v="Xiaomi Mi 11"/>
    <s v="Android"/>
    <n v="53"/>
    <n v="1.9"/>
    <n v="526"/>
    <n v="15"/>
    <n v="112"/>
    <n v="42"/>
    <x v="1"/>
    <s v="Male"/>
    <n v="1"/>
    <s v="No"/>
    <x v="2"/>
    <s v="No"/>
    <s v="No"/>
    <m/>
  </r>
  <r>
    <n v="163"/>
    <s v="Google Pixel 5"/>
    <s v="Android"/>
    <n v="442"/>
    <n v="7.7"/>
    <n v="2067"/>
    <n v="69"/>
    <n v="1440"/>
    <n v="45"/>
    <x v="1"/>
    <s v="Male"/>
    <n v="4"/>
    <s v="Yes"/>
    <x v="0"/>
    <s v="Yes"/>
    <s v="No"/>
    <m/>
  </r>
  <r>
    <n v="164"/>
    <s v="iPhone 12"/>
    <s v="iOS"/>
    <n v="32"/>
    <n v="2"/>
    <n v="469"/>
    <n v="18"/>
    <n v="139"/>
    <n v="22"/>
    <x v="2"/>
    <s v="Male"/>
    <n v="1"/>
    <s v="No"/>
    <x v="2"/>
    <s v="No"/>
    <s v="No"/>
    <m/>
  </r>
  <r>
    <n v="165"/>
    <s v="Xiaomi Mi 11"/>
    <s v="Android"/>
    <n v="278"/>
    <n v="4.8"/>
    <n v="1238"/>
    <n v="48"/>
    <n v="851"/>
    <n v="43"/>
    <x v="1"/>
    <s v="Female"/>
    <n v="3"/>
    <s v="Yes"/>
    <x v="0"/>
    <s v="No"/>
    <s v="No"/>
    <m/>
  </r>
  <r>
    <n v="166"/>
    <s v="Xiaomi Mi 11"/>
    <s v="Android"/>
    <n v="540"/>
    <n v="8.4"/>
    <n v="2993"/>
    <n v="98"/>
    <n v="1540"/>
    <n v="49"/>
    <x v="1"/>
    <s v="Female"/>
    <n v="5"/>
    <s v="Yes"/>
    <x v="0"/>
    <s v="Yes"/>
    <s v="Yes"/>
    <m/>
  </r>
  <r>
    <n v="167"/>
    <s v="Google Pixel 5"/>
    <s v="Android"/>
    <n v="595"/>
    <n v="11.3"/>
    <n v="2968"/>
    <n v="88"/>
    <n v="2366"/>
    <n v="30"/>
    <x v="0"/>
    <s v="Male"/>
    <n v="5"/>
    <s v="Yes"/>
    <x v="0"/>
    <s v="Yes"/>
    <s v="Yes"/>
    <m/>
  </r>
  <r>
    <n v="168"/>
    <s v="Google Pixel 5"/>
    <s v="Android"/>
    <n v="35"/>
    <n v="1.5"/>
    <n v="467"/>
    <n v="10"/>
    <n v="158"/>
    <n v="58"/>
    <x v="1"/>
    <s v="Male"/>
    <n v="1"/>
    <s v="No"/>
    <x v="2"/>
    <s v="No"/>
    <s v="No"/>
    <m/>
  </r>
  <r>
    <n v="169"/>
    <s v="Google Pixel 5"/>
    <s v="Android"/>
    <n v="225"/>
    <n v="5.4"/>
    <n v="1370"/>
    <n v="44"/>
    <n v="791"/>
    <n v="55"/>
    <x v="1"/>
    <s v="Female"/>
    <n v="3"/>
    <s v="Yes"/>
    <x v="0"/>
    <s v="No"/>
    <s v="No"/>
    <m/>
  </r>
  <r>
    <n v="170"/>
    <s v="Google Pixel 5"/>
    <s v="Android"/>
    <n v="587"/>
    <n v="11.8"/>
    <n v="2431"/>
    <n v="90"/>
    <n v="1894"/>
    <n v="47"/>
    <x v="1"/>
    <s v="Male"/>
    <n v="5"/>
    <s v="Yes"/>
    <x v="0"/>
    <s v="Yes"/>
    <s v="Yes"/>
    <m/>
  </r>
  <r>
    <n v="171"/>
    <s v="Xiaomi Mi 11"/>
    <s v="Android"/>
    <n v="92"/>
    <n v="3.7"/>
    <n v="1124"/>
    <n v="27"/>
    <n v="524"/>
    <n v="44"/>
    <x v="1"/>
    <s v="Male"/>
    <n v="2"/>
    <s v="Yes"/>
    <x v="1"/>
    <s v="No"/>
    <s v="No"/>
    <m/>
  </r>
  <r>
    <n v="172"/>
    <s v="Google Pixel 5"/>
    <s v="Android"/>
    <n v="46"/>
    <n v="1.1000000000000001"/>
    <n v="487"/>
    <n v="17"/>
    <n v="208"/>
    <n v="23"/>
    <x v="2"/>
    <s v="Male"/>
    <n v="1"/>
    <s v="No"/>
    <x v="2"/>
    <s v="No"/>
    <s v="No"/>
    <m/>
  </r>
  <r>
    <n v="173"/>
    <s v="OnePlus 9"/>
    <s v="Android"/>
    <n v="153"/>
    <n v="2.8"/>
    <n v="935"/>
    <n v="25"/>
    <n v="578"/>
    <n v="37"/>
    <x v="0"/>
    <s v="Female"/>
    <n v="2"/>
    <s v="Yes"/>
    <x v="1"/>
    <s v="No"/>
    <s v="No"/>
    <m/>
  </r>
  <r>
    <n v="174"/>
    <s v="iPhone 12"/>
    <s v="iOS"/>
    <n v="368"/>
    <n v="6.6"/>
    <n v="1817"/>
    <n v="72"/>
    <n v="1406"/>
    <n v="27"/>
    <x v="0"/>
    <s v="Female"/>
    <n v="4"/>
    <s v="Yes"/>
    <x v="0"/>
    <s v="Yes"/>
    <s v="No"/>
    <m/>
  </r>
  <r>
    <n v="175"/>
    <s v="Xiaomi Mi 11"/>
    <s v="Android"/>
    <n v="51"/>
    <n v="1.6"/>
    <n v="509"/>
    <n v="11"/>
    <n v="113"/>
    <n v="29"/>
    <x v="0"/>
    <s v="Female"/>
    <n v="1"/>
    <s v="No"/>
    <x v="2"/>
    <s v="No"/>
    <s v="No"/>
    <m/>
  </r>
  <r>
    <n v="176"/>
    <s v="Google Pixel 5"/>
    <s v="Android"/>
    <n v="279"/>
    <n v="5.2"/>
    <n v="1660"/>
    <n v="47"/>
    <n v="629"/>
    <n v="50"/>
    <x v="1"/>
    <s v="Female"/>
    <n v="3"/>
    <s v="Yes"/>
    <x v="0"/>
    <s v="No"/>
    <s v="No"/>
    <m/>
  </r>
  <r>
    <n v="177"/>
    <s v="Xiaomi Mi 11"/>
    <s v="Android"/>
    <n v="255"/>
    <n v="5.4"/>
    <n v="1738"/>
    <n v="42"/>
    <n v="826"/>
    <n v="21"/>
    <x v="2"/>
    <s v="Male"/>
    <n v="3"/>
    <s v="Yes"/>
    <x v="0"/>
    <s v="No"/>
    <s v="No"/>
    <m/>
  </r>
  <r>
    <n v="178"/>
    <s v="Samsung Galaxy S21"/>
    <s v="Android"/>
    <n v="193"/>
    <n v="5.7"/>
    <n v="1471"/>
    <n v="51"/>
    <n v="972"/>
    <n v="31"/>
    <x v="0"/>
    <s v="Female"/>
    <n v="3"/>
    <s v="Yes"/>
    <x v="0"/>
    <s v="No"/>
    <s v="No"/>
    <m/>
  </r>
  <r>
    <n v="179"/>
    <s v="Xiaomi Mi 11"/>
    <s v="Android"/>
    <n v="207"/>
    <n v="5.7"/>
    <n v="1582"/>
    <n v="52"/>
    <n v="692"/>
    <n v="38"/>
    <x v="0"/>
    <s v="Male"/>
    <n v="3"/>
    <s v="Yes"/>
    <x v="0"/>
    <s v="No"/>
    <s v="No"/>
    <m/>
  </r>
  <r>
    <n v="180"/>
    <s v="iPhone 12"/>
    <s v="iOS"/>
    <n v="539"/>
    <n v="11.9"/>
    <n v="2853"/>
    <n v="83"/>
    <n v="2007"/>
    <n v="55"/>
    <x v="1"/>
    <s v="Male"/>
    <n v="5"/>
    <s v="Yes"/>
    <x v="0"/>
    <s v="Yes"/>
    <s v="Yes"/>
    <m/>
  </r>
  <r>
    <n v="181"/>
    <s v="OnePlus 9"/>
    <s v="Android"/>
    <n v="151"/>
    <n v="2.4"/>
    <n v="1124"/>
    <n v="38"/>
    <n v="571"/>
    <n v="33"/>
    <x v="0"/>
    <s v="Male"/>
    <n v="2"/>
    <s v="Yes"/>
    <x v="1"/>
    <s v="No"/>
    <s v="No"/>
    <m/>
  </r>
  <r>
    <n v="182"/>
    <s v="Google Pixel 5"/>
    <s v="Android"/>
    <n v="474"/>
    <n v="6.4"/>
    <n v="2109"/>
    <n v="68"/>
    <n v="1079"/>
    <n v="24"/>
    <x v="2"/>
    <s v="Male"/>
    <n v="4"/>
    <s v="Yes"/>
    <x v="0"/>
    <s v="No"/>
    <s v="No"/>
    <m/>
  </r>
  <r>
    <n v="183"/>
    <s v="iPhone 12"/>
    <s v="iOS"/>
    <n v="544"/>
    <n v="9.1999999999999993"/>
    <n v="2936"/>
    <n v="83"/>
    <n v="2416"/>
    <n v="47"/>
    <x v="1"/>
    <s v="Female"/>
    <n v="5"/>
    <s v="Yes"/>
    <x v="0"/>
    <s v="Yes"/>
    <s v="Yes"/>
    <m/>
  </r>
  <r>
    <n v="184"/>
    <s v="iPhone 12"/>
    <s v="iOS"/>
    <n v="73"/>
    <n v="1.2"/>
    <n v="308"/>
    <n v="15"/>
    <n v="275"/>
    <n v="39"/>
    <x v="0"/>
    <s v="Female"/>
    <n v="1"/>
    <s v="Yes"/>
    <x v="1"/>
    <s v="No"/>
    <s v="No"/>
    <m/>
  </r>
  <r>
    <n v="185"/>
    <s v="Xiaomi Mi 11"/>
    <s v="Android"/>
    <n v="597"/>
    <n v="10.4"/>
    <n v="2984"/>
    <n v="91"/>
    <n v="1564"/>
    <n v="34"/>
    <x v="0"/>
    <s v="Female"/>
    <n v="5"/>
    <s v="Yes"/>
    <x v="0"/>
    <s v="Yes"/>
    <s v="Yes"/>
    <m/>
  </r>
  <r>
    <n v="186"/>
    <s v="Google Pixel 5"/>
    <s v="Android"/>
    <n v="498"/>
    <n v="10.7"/>
    <n v="2738"/>
    <n v="94"/>
    <n v="1995"/>
    <n v="42"/>
    <x v="1"/>
    <s v="Male"/>
    <n v="5"/>
    <s v="Yes"/>
    <x v="0"/>
    <s v="Yes"/>
    <s v="Yes"/>
    <m/>
  </r>
  <r>
    <n v="187"/>
    <s v="iPhone 12"/>
    <s v="iOS"/>
    <n v="402"/>
    <n v="7.8"/>
    <n v="2014"/>
    <n v="79"/>
    <n v="1088"/>
    <n v="34"/>
    <x v="0"/>
    <s v="Female"/>
    <n v="4"/>
    <s v="Yes"/>
    <x v="0"/>
    <s v="No"/>
    <s v="No"/>
    <m/>
  </r>
  <r>
    <n v="188"/>
    <s v="OnePlus 9"/>
    <s v="Android"/>
    <n v="75"/>
    <n v="1.1000000000000001"/>
    <n v="379"/>
    <n v="15"/>
    <n v="185"/>
    <n v="37"/>
    <x v="0"/>
    <s v="Male"/>
    <n v="1"/>
    <s v="Yes"/>
    <x v="1"/>
    <s v="No"/>
    <s v="No"/>
    <m/>
  </r>
  <r>
    <n v="189"/>
    <s v="iPhone 12"/>
    <s v="iOS"/>
    <n v="130"/>
    <n v="2"/>
    <n v="602"/>
    <n v="21"/>
    <n v="589"/>
    <n v="30"/>
    <x v="0"/>
    <s v="Female"/>
    <n v="2"/>
    <s v="Yes"/>
    <x v="1"/>
    <s v="No"/>
    <s v="No"/>
    <m/>
  </r>
  <r>
    <n v="190"/>
    <s v="Samsung Galaxy S21"/>
    <s v="Android"/>
    <n v="42"/>
    <n v="1.1000000000000001"/>
    <n v="402"/>
    <n v="11"/>
    <n v="265"/>
    <n v="32"/>
    <x v="0"/>
    <s v="Female"/>
    <n v="1"/>
    <s v="No"/>
    <x v="2"/>
    <s v="No"/>
    <s v="No"/>
    <m/>
  </r>
  <r>
    <n v="191"/>
    <s v="iPhone 12"/>
    <s v="iOS"/>
    <n v="134"/>
    <n v="2.2000000000000002"/>
    <n v="917"/>
    <n v="23"/>
    <n v="423"/>
    <n v="23"/>
    <x v="2"/>
    <s v="Male"/>
    <n v="2"/>
    <s v="Yes"/>
    <x v="1"/>
    <s v="No"/>
    <s v="No"/>
    <m/>
  </r>
  <r>
    <n v="192"/>
    <s v="Google Pixel 5"/>
    <s v="Android"/>
    <n v="79"/>
    <n v="1.9"/>
    <n v="477"/>
    <n v="13"/>
    <n v="161"/>
    <n v="24"/>
    <x v="2"/>
    <s v="Male"/>
    <n v="1"/>
    <s v="Yes"/>
    <x v="1"/>
    <s v="No"/>
    <s v="No"/>
    <m/>
  </r>
  <r>
    <n v="193"/>
    <s v="iPhone 12"/>
    <s v="iOS"/>
    <n v="432"/>
    <n v="7.2"/>
    <n v="1822"/>
    <n v="63"/>
    <n v="1127"/>
    <n v="59"/>
    <x v="1"/>
    <s v="Female"/>
    <n v="4"/>
    <s v="Yes"/>
    <x v="0"/>
    <s v="No"/>
    <s v="No"/>
    <m/>
  </r>
  <r>
    <n v="194"/>
    <s v="iPhone 12"/>
    <s v="iOS"/>
    <n v="262"/>
    <n v="4.0999999999999996"/>
    <n v="1287"/>
    <n v="52"/>
    <n v="997"/>
    <n v="36"/>
    <x v="0"/>
    <s v="Male"/>
    <n v="3"/>
    <s v="Yes"/>
    <x v="0"/>
    <s v="No"/>
    <s v="No"/>
    <m/>
  </r>
  <r>
    <n v="195"/>
    <s v="Samsung Galaxy S21"/>
    <s v="Android"/>
    <n v="473"/>
    <n v="6.4"/>
    <n v="2109"/>
    <n v="79"/>
    <n v="1300"/>
    <n v="23"/>
    <x v="2"/>
    <s v="Female"/>
    <n v="4"/>
    <s v="Yes"/>
    <x v="0"/>
    <s v="No"/>
    <s v="No"/>
    <m/>
  </r>
  <r>
    <n v="196"/>
    <s v="Google Pixel 5"/>
    <s v="Android"/>
    <n v="202"/>
    <n v="4.7"/>
    <n v="1512"/>
    <n v="49"/>
    <n v="659"/>
    <n v="45"/>
    <x v="1"/>
    <s v="Female"/>
    <n v="3"/>
    <s v="Yes"/>
    <x v="0"/>
    <s v="No"/>
    <s v="No"/>
    <m/>
  </r>
  <r>
    <n v="197"/>
    <s v="OnePlus 9"/>
    <s v="Android"/>
    <n v="215"/>
    <n v="4.4000000000000004"/>
    <n v="1407"/>
    <n v="41"/>
    <n v="991"/>
    <n v="47"/>
    <x v="1"/>
    <s v="Male"/>
    <n v="3"/>
    <s v="Yes"/>
    <x v="0"/>
    <s v="No"/>
    <s v="No"/>
    <m/>
  </r>
  <r>
    <n v="198"/>
    <s v="OnePlus 9"/>
    <s v="Android"/>
    <n v="151"/>
    <n v="3.7"/>
    <n v="1116"/>
    <n v="32"/>
    <n v="320"/>
    <n v="41"/>
    <x v="1"/>
    <s v="Female"/>
    <n v="2"/>
    <s v="Yes"/>
    <x v="1"/>
    <s v="No"/>
    <s v="No"/>
    <m/>
  </r>
  <r>
    <n v="199"/>
    <s v="OnePlus 9"/>
    <s v="Android"/>
    <n v="80"/>
    <n v="1.6"/>
    <n v="549"/>
    <n v="14"/>
    <n v="197"/>
    <n v="19"/>
    <x v="2"/>
    <s v="Male"/>
    <n v="1"/>
    <s v="Yes"/>
    <x v="1"/>
    <s v="No"/>
    <s v="No"/>
    <m/>
  </r>
  <r>
    <n v="200"/>
    <s v="Xiaomi Mi 11"/>
    <s v="Android"/>
    <n v="126"/>
    <n v="2.8"/>
    <n v="971"/>
    <n v="32"/>
    <n v="431"/>
    <n v="35"/>
    <x v="0"/>
    <s v="Female"/>
    <n v="2"/>
    <s v="Yes"/>
    <x v="1"/>
    <s v="No"/>
    <s v="No"/>
    <m/>
  </r>
  <r>
    <n v="201"/>
    <s v="Samsung Galaxy S21"/>
    <s v="Android"/>
    <n v="495"/>
    <n v="8.9"/>
    <n v="2920"/>
    <n v="84"/>
    <n v="2252"/>
    <n v="31"/>
    <x v="0"/>
    <s v="Female"/>
    <n v="5"/>
    <s v="Yes"/>
    <x v="0"/>
    <s v="Yes"/>
    <s v="Yes"/>
    <m/>
  </r>
  <r>
    <n v="202"/>
    <s v="iPhone 12"/>
    <s v="iOS"/>
    <n v="127"/>
    <n v="3.7"/>
    <n v="1153"/>
    <n v="35"/>
    <n v="314"/>
    <n v="37"/>
    <x v="0"/>
    <s v="Female"/>
    <n v="2"/>
    <s v="Yes"/>
    <x v="1"/>
    <s v="No"/>
    <s v="No"/>
    <m/>
  </r>
  <r>
    <n v="203"/>
    <s v="Xiaomi Mi 11"/>
    <s v="Android"/>
    <n v="88"/>
    <n v="1.3"/>
    <n v="327"/>
    <n v="11"/>
    <n v="262"/>
    <n v="22"/>
    <x v="2"/>
    <s v="Male"/>
    <n v="1"/>
    <s v="Yes"/>
    <x v="1"/>
    <s v="No"/>
    <s v="No"/>
    <m/>
  </r>
  <r>
    <n v="204"/>
    <s v="Google Pixel 5"/>
    <s v="Android"/>
    <n v="69"/>
    <n v="1.6"/>
    <n v="463"/>
    <n v="16"/>
    <n v="146"/>
    <n v="27"/>
    <x v="0"/>
    <s v="Male"/>
    <n v="1"/>
    <s v="Yes"/>
    <x v="1"/>
    <s v="No"/>
    <s v="No"/>
    <m/>
  </r>
  <r>
    <n v="205"/>
    <s v="OnePlus 9"/>
    <s v="Android"/>
    <n v="100"/>
    <n v="3.3"/>
    <n v="961"/>
    <n v="21"/>
    <n v="433"/>
    <n v="25"/>
    <x v="0"/>
    <s v="Male"/>
    <n v="2"/>
    <s v="Yes"/>
    <x v="1"/>
    <s v="No"/>
    <s v="No"/>
    <m/>
  </r>
  <r>
    <n v="206"/>
    <s v="Xiaomi Mi 11"/>
    <s v="Android"/>
    <n v="301"/>
    <n v="6.5"/>
    <n v="2084"/>
    <n v="71"/>
    <n v="1421"/>
    <n v="29"/>
    <x v="0"/>
    <s v="Male"/>
    <n v="4"/>
    <s v="Yes"/>
    <x v="0"/>
    <s v="Yes"/>
    <s v="No"/>
    <m/>
  </r>
  <r>
    <n v="207"/>
    <s v="Google Pixel 5"/>
    <s v="Android"/>
    <n v="78"/>
    <n v="1.7"/>
    <n v="455"/>
    <n v="15"/>
    <n v="207"/>
    <n v="37"/>
    <x v="0"/>
    <s v="Female"/>
    <n v="1"/>
    <s v="Yes"/>
    <x v="1"/>
    <s v="No"/>
    <s v="No"/>
    <m/>
  </r>
  <r>
    <n v="208"/>
    <s v="Google Pixel 5"/>
    <s v="Android"/>
    <n v="163"/>
    <n v="3.1"/>
    <n v="620"/>
    <n v="21"/>
    <n v="419"/>
    <n v="23"/>
    <x v="2"/>
    <s v="Male"/>
    <n v="2"/>
    <s v="Yes"/>
    <x v="1"/>
    <s v="No"/>
    <s v="No"/>
    <m/>
  </r>
  <r>
    <n v="209"/>
    <s v="OnePlus 9"/>
    <s v="Android"/>
    <n v="539"/>
    <n v="9.3000000000000007"/>
    <n v="2606"/>
    <n v="92"/>
    <n v="1990"/>
    <n v="41"/>
    <x v="1"/>
    <s v="Male"/>
    <n v="5"/>
    <s v="Yes"/>
    <x v="0"/>
    <s v="Yes"/>
    <s v="Yes"/>
    <m/>
  </r>
  <r>
    <n v="210"/>
    <s v="Google Pixel 5"/>
    <s v="Android"/>
    <n v="278"/>
    <n v="4.5999999999999996"/>
    <n v="1385"/>
    <n v="47"/>
    <n v="823"/>
    <n v="40"/>
    <x v="0"/>
    <s v="Female"/>
    <n v="3"/>
    <s v="Yes"/>
    <x v="0"/>
    <s v="No"/>
    <s v="No"/>
    <m/>
  </r>
  <r>
    <n v="211"/>
    <s v="Samsung Galaxy S21"/>
    <s v="Android"/>
    <n v="451"/>
    <n v="6.1"/>
    <n v="2108"/>
    <n v="76"/>
    <n v="1434"/>
    <n v="25"/>
    <x v="0"/>
    <s v="Female"/>
    <n v="4"/>
    <s v="Yes"/>
    <x v="0"/>
    <s v="Yes"/>
    <s v="No"/>
    <m/>
  </r>
  <r>
    <n v="212"/>
    <s v="Samsung Galaxy S21"/>
    <s v="Android"/>
    <n v="481"/>
    <n v="10.9"/>
    <n v="2752"/>
    <n v="86"/>
    <n v="2017"/>
    <n v="18"/>
    <x v="2"/>
    <s v="Male"/>
    <n v="5"/>
    <s v="Yes"/>
    <x v="0"/>
    <s v="Yes"/>
    <s v="Yes"/>
    <m/>
  </r>
  <r>
    <n v="213"/>
    <s v="Samsung Galaxy S21"/>
    <s v="Android"/>
    <n v="133"/>
    <n v="3.4"/>
    <n v="714"/>
    <n v="38"/>
    <n v="445"/>
    <n v="25"/>
    <x v="0"/>
    <s v="Male"/>
    <n v="2"/>
    <s v="Yes"/>
    <x v="1"/>
    <s v="No"/>
    <s v="No"/>
    <m/>
  </r>
  <r>
    <n v="214"/>
    <s v="Xiaomi Mi 11"/>
    <s v="Android"/>
    <n v="41"/>
    <n v="1.1000000000000001"/>
    <n v="588"/>
    <n v="10"/>
    <n v="246"/>
    <n v="22"/>
    <x v="2"/>
    <s v="Male"/>
    <n v="1"/>
    <s v="No"/>
    <x v="2"/>
    <s v="No"/>
    <s v="No"/>
    <m/>
  </r>
  <r>
    <n v="215"/>
    <s v="iPhone 12"/>
    <s v="iOS"/>
    <n v="152"/>
    <n v="3.3"/>
    <n v="1175"/>
    <n v="29"/>
    <n v="461"/>
    <n v="42"/>
    <x v="1"/>
    <s v="Female"/>
    <n v="2"/>
    <s v="Yes"/>
    <x v="1"/>
    <s v="No"/>
    <s v="No"/>
    <m/>
  </r>
  <r>
    <n v="216"/>
    <s v="OnePlus 9"/>
    <s v="Android"/>
    <n v="553"/>
    <n v="8.4"/>
    <n v="2559"/>
    <n v="89"/>
    <n v="2471"/>
    <n v="51"/>
    <x v="1"/>
    <s v="Male"/>
    <n v="5"/>
    <s v="Yes"/>
    <x v="0"/>
    <s v="Yes"/>
    <s v="Yes"/>
    <m/>
  </r>
  <r>
    <n v="217"/>
    <s v="iPhone 12"/>
    <s v="iOS"/>
    <n v="402"/>
    <n v="6.9"/>
    <n v="2282"/>
    <n v="78"/>
    <n v="1397"/>
    <n v="40"/>
    <x v="0"/>
    <s v="Male"/>
    <n v="4"/>
    <s v="Yes"/>
    <x v="0"/>
    <s v="Yes"/>
    <s v="Yes"/>
    <m/>
  </r>
  <r>
    <n v="218"/>
    <s v="OnePlus 9"/>
    <s v="Android"/>
    <n v="555"/>
    <n v="9.5"/>
    <n v="2855"/>
    <n v="95"/>
    <n v="1565"/>
    <n v="24"/>
    <x v="2"/>
    <s v="Male"/>
    <n v="5"/>
    <s v="Yes"/>
    <x v="0"/>
    <s v="Yes"/>
    <s v="Yes"/>
    <m/>
  </r>
  <r>
    <n v="219"/>
    <s v="iPhone 12"/>
    <s v="iOS"/>
    <n v="499"/>
    <n v="9.6"/>
    <n v="2873"/>
    <n v="81"/>
    <n v="1805"/>
    <n v="52"/>
    <x v="1"/>
    <s v="Female"/>
    <n v="5"/>
    <s v="Yes"/>
    <x v="0"/>
    <s v="Yes"/>
    <s v="Yes"/>
    <m/>
  </r>
  <r>
    <n v="220"/>
    <s v="Xiaomi Mi 11"/>
    <s v="Android"/>
    <n v="101"/>
    <n v="3.2"/>
    <n v="603"/>
    <n v="28"/>
    <n v="417"/>
    <n v="43"/>
    <x v="1"/>
    <s v="Male"/>
    <n v="2"/>
    <s v="Yes"/>
    <x v="1"/>
    <s v="No"/>
    <s v="No"/>
    <m/>
  </r>
  <r>
    <n v="221"/>
    <s v="OnePlus 9"/>
    <s v="Android"/>
    <n v="433"/>
    <n v="6.8"/>
    <n v="2093"/>
    <n v="75"/>
    <n v="1300"/>
    <n v="32"/>
    <x v="0"/>
    <s v="Male"/>
    <n v="4"/>
    <s v="Yes"/>
    <x v="0"/>
    <s v="No"/>
    <s v="No"/>
    <m/>
  </r>
  <r>
    <n v="222"/>
    <s v="OnePlus 9"/>
    <s v="Android"/>
    <n v="133"/>
    <n v="2"/>
    <n v="1007"/>
    <n v="31"/>
    <n v="417"/>
    <n v="32"/>
    <x v="0"/>
    <s v="Male"/>
    <n v="2"/>
    <s v="Yes"/>
    <x v="1"/>
    <s v="No"/>
    <s v="No"/>
    <m/>
  </r>
  <r>
    <n v="223"/>
    <s v="Xiaomi Mi 11"/>
    <s v="Android"/>
    <n v="351"/>
    <n v="6.1"/>
    <n v="1941"/>
    <n v="79"/>
    <n v="1290"/>
    <n v="21"/>
    <x v="2"/>
    <s v="Female"/>
    <n v="4"/>
    <s v="Yes"/>
    <x v="0"/>
    <s v="No"/>
    <s v="No"/>
    <m/>
  </r>
  <r>
    <n v="224"/>
    <s v="Samsung Galaxy S21"/>
    <s v="Android"/>
    <n v="532"/>
    <n v="10.7"/>
    <n v="2556"/>
    <n v="83"/>
    <n v="2148"/>
    <n v="53"/>
    <x v="1"/>
    <s v="Female"/>
    <n v="5"/>
    <s v="Yes"/>
    <x v="0"/>
    <s v="Yes"/>
    <s v="Yes"/>
    <m/>
  </r>
  <r>
    <n v="225"/>
    <s v="OnePlus 9"/>
    <s v="Android"/>
    <n v="92"/>
    <n v="2.5"/>
    <n v="690"/>
    <n v="31"/>
    <n v="563"/>
    <n v="27"/>
    <x v="0"/>
    <s v="Male"/>
    <n v="2"/>
    <s v="Yes"/>
    <x v="1"/>
    <s v="No"/>
    <s v="No"/>
    <m/>
  </r>
  <r>
    <n v="226"/>
    <s v="Xiaomi Mi 11"/>
    <s v="Android"/>
    <n v="511"/>
    <n v="10.8"/>
    <n v="2712"/>
    <n v="97"/>
    <n v="2438"/>
    <n v="59"/>
    <x v="1"/>
    <s v="Female"/>
    <n v="5"/>
    <s v="Yes"/>
    <x v="0"/>
    <s v="Yes"/>
    <s v="Yes"/>
    <m/>
  </r>
  <r>
    <n v="227"/>
    <s v="Xiaomi Mi 11"/>
    <s v="Android"/>
    <n v="384"/>
    <n v="7"/>
    <n v="2185"/>
    <n v="72"/>
    <n v="1376"/>
    <n v="59"/>
    <x v="1"/>
    <s v="Male"/>
    <n v="4"/>
    <s v="Yes"/>
    <x v="0"/>
    <s v="Yes"/>
    <s v="No"/>
    <m/>
  </r>
  <r>
    <n v="228"/>
    <s v="iPhone 12"/>
    <s v="iOS"/>
    <n v="193"/>
    <n v="5.2"/>
    <n v="1318"/>
    <n v="49"/>
    <n v="626"/>
    <n v="32"/>
    <x v="0"/>
    <s v="Female"/>
    <n v="3"/>
    <s v="Yes"/>
    <x v="0"/>
    <s v="No"/>
    <s v="No"/>
    <m/>
  </r>
  <r>
    <n v="229"/>
    <s v="Samsung Galaxy S21"/>
    <s v="Android"/>
    <n v="132"/>
    <n v="3.8"/>
    <n v="649"/>
    <n v="25"/>
    <n v="368"/>
    <n v="41"/>
    <x v="1"/>
    <s v="Male"/>
    <n v="2"/>
    <s v="Yes"/>
    <x v="1"/>
    <s v="No"/>
    <s v="No"/>
    <m/>
  </r>
  <r>
    <n v="230"/>
    <s v="Samsung Galaxy S21"/>
    <s v="Android"/>
    <n v="360"/>
    <n v="7.3"/>
    <n v="1946"/>
    <n v="79"/>
    <n v="1164"/>
    <n v="50"/>
    <x v="1"/>
    <s v="Male"/>
    <n v="4"/>
    <s v="Yes"/>
    <x v="0"/>
    <s v="No"/>
    <s v="No"/>
    <m/>
  </r>
  <r>
    <n v="231"/>
    <s v="iPhone 12"/>
    <s v="iOS"/>
    <n v="159"/>
    <n v="2.2999999999999998"/>
    <n v="1083"/>
    <n v="32"/>
    <n v="526"/>
    <n v="38"/>
    <x v="0"/>
    <s v="Male"/>
    <n v="2"/>
    <s v="Yes"/>
    <x v="1"/>
    <s v="No"/>
    <s v="No"/>
    <m/>
  </r>
  <r>
    <n v="232"/>
    <s v="iPhone 12"/>
    <s v="iOS"/>
    <n v="495"/>
    <n v="8.9"/>
    <n v="2855"/>
    <n v="91"/>
    <n v="2150"/>
    <n v="31"/>
    <x v="0"/>
    <s v="Male"/>
    <n v="5"/>
    <s v="Yes"/>
    <x v="0"/>
    <s v="Yes"/>
    <s v="Yes"/>
    <m/>
  </r>
  <r>
    <n v="233"/>
    <s v="Xiaomi Mi 11"/>
    <s v="Android"/>
    <n v="537"/>
    <n v="10"/>
    <n v="2720"/>
    <n v="83"/>
    <n v="1763"/>
    <n v="35"/>
    <x v="0"/>
    <s v="Male"/>
    <n v="5"/>
    <s v="Yes"/>
    <x v="0"/>
    <s v="Yes"/>
    <s v="Yes"/>
    <m/>
  </r>
  <r>
    <n v="234"/>
    <s v="OnePlus 9"/>
    <s v="Android"/>
    <n v="129"/>
    <n v="3.4"/>
    <n v="1059"/>
    <n v="27"/>
    <n v="580"/>
    <n v="36"/>
    <x v="0"/>
    <s v="Female"/>
    <n v="2"/>
    <s v="Yes"/>
    <x v="1"/>
    <s v="No"/>
    <s v="No"/>
    <m/>
  </r>
  <r>
    <n v="235"/>
    <s v="iPhone 12"/>
    <s v="iOS"/>
    <n v="132"/>
    <n v="3.8"/>
    <n v="636"/>
    <n v="28"/>
    <n v="529"/>
    <n v="53"/>
    <x v="1"/>
    <s v="Male"/>
    <n v="2"/>
    <s v="Yes"/>
    <x v="1"/>
    <s v="No"/>
    <s v="No"/>
    <m/>
  </r>
  <r>
    <n v="236"/>
    <s v="Xiaomi Mi 11"/>
    <s v="Android"/>
    <n v="37"/>
    <n v="1.4"/>
    <n v="369"/>
    <n v="18"/>
    <n v="295"/>
    <n v="19"/>
    <x v="2"/>
    <s v="Female"/>
    <n v="1"/>
    <s v="No"/>
    <x v="2"/>
    <s v="No"/>
    <s v="No"/>
    <m/>
  </r>
  <r>
    <n v="237"/>
    <s v="Samsung Galaxy S21"/>
    <s v="Android"/>
    <n v="524"/>
    <n v="8.9"/>
    <n v="2549"/>
    <n v="88"/>
    <n v="1730"/>
    <n v="20"/>
    <x v="2"/>
    <s v="Female"/>
    <n v="5"/>
    <s v="Yes"/>
    <x v="0"/>
    <s v="Yes"/>
    <s v="Yes"/>
    <m/>
  </r>
  <r>
    <n v="238"/>
    <s v="OnePlus 9"/>
    <s v="Android"/>
    <n v="425"/>
    <n v="6.9"/>
    <n v="2142"/>
    <n v="66"/>
    <n v="1130"/>
    <n v="19"/>
    <x v="2"/>
    <s v="Female"/>
    <n v="4"/>
    <s v="Yes"/>
    <x v="0"/>
    <s v="No"/>
    <s v="No"/>
    <m/>
  </r>
  <r>
    <n v="239"/>
    <s v="OnePlus 9"/>
    <s v="Android"/>
    <n v="64"/>
    <n v="1.7"/>
    <n v="585"/>
    <n v="13"/>
    <n v="107"/>
    <n v="53"/>
    <x v="1"/>
    <s v="Male"/>
    <n v="1"/>
    <s v="Yes"/>
    <x v="1"/>
    <s v="No"/>
    <s v="No"/>
    <m/>
  </r>
  <r>
    <n v="240"/>
    <s v="iPhone 12"/>
    <s v="iOS"/>
    <n v="573"/>
    <n v="10.8"/>
    <n v="2711"/>
    <n v="96"/>
    <n v="2118"/>
    <n v="33"/>
    <x v="0"/>
    <s v="Female"/>
    <n v="5"/>
    <s v="Yes"/>
    <x v="0"/>
    <s v="Yes"/>
    <s v="Yes"/>
    <m/>
  </r>
  <r>
    <n v="241"/>
    <s v="Google Pixel 5"/>
    <s v="Android"/>
    <n v="45"/>
    <n v="1.7"/>
    <n v="302"/>
    <n v="16"/>
    <n v="191"/>
    <n v="57"/>
    <x v="1"/>
    <s v="Female"/>
    <n v="1"/>
    <s v="No"/>
    <x v="2"/>
    <s v="No"/>
    <s v="No"/>
    <m/>
  </r>
  <r>
    <n v="242"/>
    <s v="Xiaomi Mi 11"/>
    <s v="Android"/>
    <n v="564"/>
    <n v="11.7"/>
    <n v="2764"/>
    <n v="81"/>
    <n v="2133"/>
    <n v="37"/>
    <x v="0"/>
    <s v="Female"/>
    <n v="5"/>
    <s v="Yes"/>
    <x v="0"/>
    <s v="Yes"/>
    <s v="Yes"/>
    <m/>
  </r>
  <r>
    <n v="243"/>
    <s v="OnePlus 9"/>
    <s v="Android"/>
    <n v="162"/>
    <n v="3.5"/>
    <n v="761"/>
    <n v="36"/>
    <n v="338"/>
    <n v="51"/>
    <x v="1"/>
    <s v="Male"/>
    <n v="2"/>
    <s v="Yes"/>
    <x v="1"/>
    <s v="No"/>
    <s v="No"/>
    <m/>
  </r>
  <r>
    <n v="244"/>
    <s v="Samsung Galaxy S21"/>
    <s v="Android"/>
    <n v="451"/>
    <n v="6.5"/>
    <n v="2378"/>
    <n v="69"/>
    <n v="1341"/>
    <n v="44"/>
    <x v="1"/>
    <s v="Male"/>
    <n v="4"/>
    <s v="Yes"/>
    <x v="0"/>
    <s v="Yes"/>
    <s v="Yes"/>
    <m/>
  </r>
  <r>
    <n v="245"/>
    <s v="OnePlus 9"/>
    <s v="Android"/>
    <n v="30"/>
    <n v="1.3"/>
    <n v="479"/>
    <n v="16"/>
    <n v="253"/>
    <n v="35"/>
    <x v="0"/>
    <s v="Male"/>
    <n v="1"/>
    <s v="No"/>
    <x v="2"/>
    <s v="No"/>
    <s v="No"/>
    <m/>
  </r>
  <r>
    <n v="246"/>
    <s v="Samsung Galaxy S21"/>
    <s v="Android"/>
    <n v="202"/>
    <n v="5"/>
    <n v="1542"/>
    <n v="45"/>
    <n v="844"/>
    <n v="29"/>
    <x v="0"/>
    <s v="Male"/>
    <n v="3"/>
    <s v="Yes"/>
    <x v="0"/>
    <s v="No"/>
    <s v="No"/>
    <m/>
  </r>
  <r>
    <n v="247"/>
    <s v="Google Pixel 5"/>
    <s v="Android"/>
    <n v="71"/>
    <n v="1.5"/>
    <n v="590"/>
    <n v="17"/>
    <n v="257"/>
    <n v="33"/>
    <x v="0"/>
    <s v="Male"/>
    <n v="1"/>
    <s v="Yes"/>
    <x v="1"/>
    <s v="No"/>
    <s v="No"/>
    <m/>
  </r>
  <r>
    <n v="248"/>
    <s v="Google Pixel 5"/>
    <s v="Android"/>
    <n v="314"/>
    <n v="6.2"/>
    <n v="2205"/>
    <n v="63"/>
    <n v="1066"/>
    <n v="19"/>
    <x v="2"/>
    <s v="Male"/>
    <n v="4"/>
    <s v="Yes"/>
    <x v="0"/>
    <s v="No"/>
    <s v="No"/>
    <m/>
  </r>
  <r>
    <n v="249"/>
    <s v="Xiaomi Mi 11"/>
    <s v="Android"/>
    <n v="168"/>
    <n v="4"/>
    <n v="866"/>
    <n v="22"/>
    <n v="581"/>
    <n v="50"/>
    <x v="1"/>
    <s v="Female"/>
    <n v="2"/>
    <s v="Yes"/>
    <x v="1"/>
    <s v="No"/>
    <s v="No"/>
    <m/>
  </r>
  <r>
    <n v="250"/>
    <s v="Google Pixel 5"/>
    <s v="Android"/>
    <n v="75"/>
    <n v="1.9"/>
    <n v="537"/>
    <n v="13"/>
    <n v="230"/>
    <n v="58"/>
    <x v="1"/>
    <s v="Female"/>
    <n v="1"/>
    <s v="Yes"/>
    <x v="1"/>
    <s v="No"/>
    <s v="No"/>
    <m/>
  </r>
  <r>
    <n v="251"/>
    <s v="OnePlus 9"/>
    <s v="Android"/>
    <n v="42"/>
    <n v="1.4"/>
    <n v="324"/>
    <n v="13"/>
    <n v="272"/>
    <n v="29"/>
    <x v="0"/>
    <s v="Female"/>
    <n v="1"/>
    <s v="No"/>
    <x v="2"/>
    <s v="No"/>
    <s v="No"/>
    <m/>
  </r>
  <r>
    <n v="252"/>
    <s v="OnePlus 9"/>
    <s v="Android"/>
    <n v="441"/>
    <n v="7.9"/>
    <n v="2332"/>
    <n v="78"/>
    <n v="1477"/>
    <n v="23"/>
    <x v="2"/>
    <s v="Female"/>
    <n v="4"/>
    <s v="Yes"/>
    <x v="0"/>
    <s v="Yes"/>
    <s v="Yes"/>
    <m/>
  </r>
  <r>
    <n v="253"/>
    <s v="Google Pixel 5"/>
    <s v="Android"/>
    <n v="523"/>
    <n v="10.5"/>
    <n v="2460"/>
    <n v="99"/>
    <n v="1787"/>
    <n v="22"/>
    <x v="2"/>
    <s v="Male"/>
    <n v="5"/>
    <s v="Yes"/>
    <x v="0"/>
    <s v="Yes"/>
    <s v="Yes"/>
    <m/>
  </r>
  <r>
    <n v="254"/>
    <s v="Xiaomi Mi 11"/>
    <s v="Android"/>
    <n v="100"/>
    <n v="2.4"/>
    <n v="982"/>
    <n v="31"/>
    <n v="478"/>
    <n v="48"/>
    <x v="1"/>
    <s v="Female"/>
    <n v="2"/>
    <s v="Yes"/>
    <x v="1"/>
    <s v="No"/>
    <s v="No"/>
    <m/>
  </r>
  <r>
    <n v="255"/>
    <s v="OnePlus 9"/>
    <s v="Android"/>
    <n v="52"/>
    <n v="1.2"/>
    <n v="398"/>
    <n v="14"/>
    <n v="172"/>
    <n v="24"/>
    <x v="2"/>
    <s v="Female"/>
    <n v="1"/>
    <s v="No"/>
    <x v="2"/>
    <s v="No"/>
    <s v="No"/>
    <m/>
  </r>
  <r>
    <n v="256"/>
    <s v="OnePlus 9"/>
    <s v="Android"/>
    <n v="397"/>
    <n v="7"/>
    <n v="2352"/>
    <n v="77"/>
    <n v="1101"/>
    <n v="46"/>
    <x v="1"/>
    <s v="Female"/>
    <n v="4"/>
    <s v="Yes"/>
    <x v="0"/>
    <s v="No"/>
    <s v="Yes"/>
    <m/>
  </r>
  <r>
    <n v="257"/>
    <s v="Xiaomi Mi 11"/>
    <s v="Android"/>
    <n v="424"/>
    <n v="7.7"/>
    <n v="1863"/>
    <n v="65"/>
    <n v="1116"/>
    <n v="52"/>
    <x v="1"/>
    <s v="Male"/>
    <n v="4"/>
    <s v="Yes"/>
    <x v="0"/>
    <s v="No"/>
    <s v="No"/>
    <m/>
  </r>
  <r>
    <n v="258"/>
    <s v="Xiaomi Mi 11"/>
    <s v="Android"/>
    <n v="272"/>
    <n v="5"/>
    <n v="1655"/>
    <n v="45"/>
    <n v="686"/>
    <n v="19"/>
    <x v="2"/>
    <s v="Female"/>
    <n v="3"/>
    <s v="Yes"/>
    <x v="0"/>
    <s v="No"/>
    <s v="No"/>
    <m/>
  </r>
  <r>
    <n v="259"/>
    <s v="Xiaomi Mi 11"/>
    <s v="Android"/>
    <n v="201"/>
    <n v="4"/>
    <n v="1791"/>
    <n v="50"/>
    <n v="914"/>
    <n v="18"/>
    <x v="2"/>
    <s v="Male"/>
    <n v="3"/>
    <s v="Yes"/>
    <x v="0"/>
    <s v="No"/>
    <s v="No"/>
    <m/>
  </r>
  <r>
    <n v="260"/>
    <s v="Xiaomi Mi 11"/>
    <s v="Android"/>
    <n v="570"/>
    <n v="9"/>
    <n v="2613"/>
    <n v="98"/>
    <n v="2497"/>
    <n v="49"/>
    <x v="1"/>
    <s v="Female"/>
    <n v="5"/>
    <s v="Yes"/>
    <x v="0"/>
    <s v="Yes"/>
    <s v="Yes"/>
    <m/>
  </r>
  <r>
    <n v="261"/>
    <s v="Xiaomi Mi 11"/>
    <s v="Android"/>
    <n v="64"/>
    <n v="1.3"/>
    <n v="490"/>
    <n v="14"/>
    <n v="151"/>
    <n v="43"/>
    <x v="1"/>
    <s v="Female"/>
    <n v="1"/>
    <s v="Yes"/>
    <x v="1"/>
    <s v="No"/>
    <s v="No"/>
    <m/>
  </r>
  <r>
    <n v="262"/>
    <s v="iPhone 12"/>
    <s v="iOS"/>
    <n v="334"/>
    <n v="6.6"/>
    <n v="2394"/>
    <n v="68"/>
    <n v="1227"/>
    <n v="46"/>
    <x v="1"/>
    <s v="Female"/>
    <n v="4"/>
    <s v="Yes"/>
    <x v="0"/>
    <s v="No"/>
    <s v="Yes"/>
    <m/>
  </r>
  <r>
    <n v="263"/>
    <s v="iPhone 12"/>
    <s v="iOS"/>
    <n v="518"/>
    <n v="9.6"/>
    <n v="2954"/>
    <n v="93"/>
    <n v="2125"/>
    <n v="34"/>
    <x v="0"/>
    <s v="Female"/>
    <n v="5"/>
    <s v="Yes"/>
    <x v="0"/>
    <s v="Yes"/>
    <s v="Yes"/>
    <m/>
  </r>
  <r>
    <n v="264"/>
    <s v="Samsung Galaxy S21"/>
    <s v="Android"/>
    <n v="70"/>
    <n v="1.7"/>
    <n v="359"/>
    <n v="10"/>
    <n v="109"/>
    <n v="57"/>
    <x v="1"/>
    <s v="Male"/>
    <n v="1"/>
    <s v="Yes"/>
    <x v="1"/>
    <s v="No"/>
    <s v="No"/>
    <m/>
  </r>
  <r>
    <n v="265"/>
    <s v="iPhone 12"/>
    <s v="iOS"/>
    <n v="334"/>
    <n v="6.8"/>
    <n v="2000"/>
    <n v="77"/>
    <n v="1079"/>
    <n v="40"/>
    <x v="0"/>
    <s v="Female"/>
    <n v="4"/>
    <s v="Yes"/>
    <x v="0"/>
    <s v="No"/>
    <s v="No"/>
    <m/>
  </r>
  <r>
    <n v="266"/>
    <s v="Xiaomi Mi 11"/>
    <s v="Android"/>
    <n v="563"/>
    <n v="8.4"/>
    <n v="2849"/>
    <n v="85"/>
    <n v="1508"/>
    <n v="25"/>
    <x v="0"/>
    <s v="Male"/>
    <n v="5"/>
    <s v="Yes"/>
    <x v="0"/>
    <s v="Yes"/>
    <s v="Yes"/>
    <m/>
  </r>
  <r>
    <n v="267"/>
    <s v="iPhone 12"/>
    <s v="iOS"/>
    <n v="181"/>
    <n v="4.0999999999999996"/>
    <n v="1608"/>
    <n v="43"/>
    <n v="752"/>
    <n v="22"/>
    <x v="2"/>
    <s v="Female"/>
    <n v="3"/>
    <s v="Yes"/>
    <x v="0"/>
    <s v="No"/>
    <s v="No"/>
    <m/>
  </r>
  <r>
    <n v="268"/>
    <s v="OnePlus 9"/>
    <s v="Android"/>
    <n v="584"/>
    <n v="9.4"/>
    <n v="2766"/>
    <n v="84"/>
    <n v="2151"/>
    <n v="32"/>
    <x v="0"/>
    <s v="Male"/>
    <n v="5"/>
    <s v="Yes"/>
    <x v="0"/>
    <s v="Yes"/>
    <s v="Yes"/>
    <m/>
  </r>
  <r>
    <n v="269"/>
    <s v="Samsung Galaxy S21"/>
    <s v="Android"/>
    <n v="208"/>
    <n v="4.7"/>
    <n v="1642"/>
    <n v="45"/>
    <n v="861"/>
    <n v="55"/>
    <x v="1"/>
    <s v="Male"/>
    <n v="3"/>
    <s v="Yes"/>
    <x v="0"/>
    <s v="No"/>
    <s v="No"/>
    <m/>
  </r>
  <r>
    <n v="270"/>
    <s v="Samsung Galaxy S21"/>
    <s v="Android"/>
    <n v="381"/>
    <n v="6.6"/>
    <n v="2160"/>
    <n v="69"/>
    <n v="1450"/>
    <n v="20"/>
    <x v="2"/>
    <s v="Male"/>
    <n v="4"/>
    <s v="Yes"/>
    <x v="0"/>
    <s v="Yes"/>
    <s v="No"/>
    <m/>
  </r>
  <r>
    <n v="271"/>
    <s v="Xiaomi Mi 11"/>
    <s v="Android"/>
    <n v="426"/>
    <n v="6.5"/>
    <n v="1969"/>
    <n v="78"/>
    <n v="1266"/>
    <n v="53"/>
    <x v="1"/>
    <s v="Female"/>
    <n v="4"/>
    <s v="Yes"/>
    <x v="0"/>
    <s v="No"/>
    <s v="No"/>
    <m/>
  </r>
  <r>
    <n v="272"/>
    <s v="OnePlus 9"/>
    <s v="Android"/>
    <n v="284"/>
    <n v="4.2"/>
    <n v="1360"/>
    <n v="56"/>
    <n v="888"/>
    <n v="51"/>
    <x v="1"/>
    <s v="Male"/>
    <n v="3"/>
    <s v="Yes"/>
    <x v="0"/>
    <s v="No"/>
    <s v="No"/>
    <m/>
  </r>
  <r>
    <n v="273"/>
    <s v="Google Pixel 5"/>
    <s v="Android"/>
    <n v="105"/>
    <n v="2.2000000000000002"/>
    <n v="1002"/>
    <n v="29"/>
    <n v="453"/>
    <n v="31"/>
    <x v="0"/>
    <s v="Female"/>
    <n v="2"/>
    <s v="Yes"/>
    <x v="1"/>
    <s v="No"/>
    <s v="No"/>
    <m/>
  </r>
  <r>
    <n v="274"/>
    <s v="Google Pixel 5"/>
    <s v="Android"/>
    <n v="179"/>
    <n v="2.2999999999999998"/>
    <n v="1014"/>
    <n v="32"/>
    <n v="588"/>
    <n v="38"/>
    <x v="0"/>
    <s v="Male"/>
    <n v="2"/>
    <s v="Yes"/>
    <x v="1"/>
    <s v="No"/>
    <s v="No"/>
    <m/>
  </r>
  <r>
    <n v="275"/>
    <s v="iPhone 12"/>
    <s v="iOS"/>
    <n v="122"/>
    <n v="2.6"/>
    <n v="639"/>
    <n v="37"/>
    <n v="568"/>
    <n v="35"/>
    <x v="0"/>
    <s v="Male"/>
    <n v="2"/>
    <s v="Yes"/>
    <x v="1"/>
    <s v="No"/>
    <s v="No"/>
    <m/>
  </r>
  <r>
    <n v="276"/>
    <s v="OnePlus 9"/>
    <s v="Android"/>
    <n v="501"/>
    <n v="11.9"/>
    <n v="2702"/>
    <n v="88"/>
    <n v="1738"/>
    <n v="49"/>
    <x v="1"/>
    <s v="Male"/>
    <n v="5"/>
    <s v="Yes"/>
    <x v="0"/>
    <s v="Yes"/>
    <s v="Yes"/>
    <m/>
  </r>
  <r>
    <n v="277"/>
    <s v="Xiaomi Mi 11"/>
    <s v="Android"/>
    <n v="269"/>
    <n v="5.9"/>
    <n v="1666"/>
    <n v="42"/>
    <n v="629"/>
    <n v="32"/>
    <x v="0"/>
    <s v="Female"/>
    <n v="3"/>
    <s v="Yes"/>
    <x v="0"/>
    <s v="No"/>
    <s v="No"/>
    <m/>
  </r>
  <r>
    <n v="278"/>
    <s v="Google Pixel 5"/>
    <s v="Android"/>
    <n v="230"/>
    <n v="4.4000000000000004"/>
    <n v="1607"/>
    <n v="52"/>
    <n v="878"/>
    <n v="54"/>
    <x v="1"/>
    <s v="Male"/>
    <n v="3"/>
    <s v="Yes"/>
    <x v="0"/>
    <s v="No"/>
    <s v="No"/>
    <m/>
  </r>
  <r>
    <n v="279"/>
    <s v="Xiaomi Mi 11"/>
    <s v="Android"/>
    <n v="85"/>
    <n v="1.6"/>
    <n v="417"/>
    <n v="12"/>
    <n v="122"/>
    <n v="47"/>
    <x v="1"/>
    <s v="Male"/>
    <n v="1"/>
    <s v="Yes"/>
    <x v="1"/>
    <s v="No"/>
    <s v="No"/>
    <m/>
  </r>
  <r>
    <n v="280"/>
    <s v="Samsung Galaxy S21"/>
    <s v="Android"/>
    <n v="411"/>
    <n v="7.8"/>
    <n v="2029"/>
    <n v="75"/>
    <n v="1136"/>
    <n v="33"/>
    <x v="0"/>
    <s v="Female"/>
    <n v="4"/>
    <s v="Yes"/>
    <x v="0"/>
    <s v="No"/>
    <s v="No"/>
    <m/>
  </r>
  <r>
    <n v="281"/>
    <s v="Samsung Galaxy S21"/>
    <s v="Android"/>
    <n v="73"/>
    <n v="1.7"/>
    <n v="403"/>
    <n v="12"/>
    <n v="163"/>
    <n v="51"/>
    <x v="1"/>
    <s v="Male"/>
    <n v="1"/>
    <s v="Yes"/>
    <x v="1"/>
    <s v="No"/>
    <s v="No"/>
    <m/>
  </r>
  <r>
    <n v="282"/>
    <s v="Xiaomi Mi 11"/>
    <s v="Android"/>
    <n v="39"/>
    <n v="1.7"/>
    <n v="530"/>
    <n v="11"/>
    <n v="268"/>
    <n v="26"/>
    <x v="0"/>
    <s v="Female"/>
    <n v="1"/>
    <s v="No"/>
    <x v="2"/>
    <s v="No"/>
    <s v="No"/>
    <m/>
  </r>
  <r>
    <n v="283"/>
    <s v="iPhone 12"/>
    <s v="iOS"/>
    <n v="386"/>
    <n v="7.7"/>
    <n v="2114"/>
    <n v="72"/>
    <n v="1209"/>
    <n v="51"/>
    <x v="1"/>
    <s v="Male"/>
    <n v="4"/>
    <s v="Yes"/>
    <x v="0"/>
    <s v="No"/>
    <s v="No"/>
    <m/>
  </r>
  <r>
    <n v="284"/>
    <s v="Google Pixel 5"/>
    <s v="Android"/>
    <n v="49"/>
    <n v="1.3"/>
    <n v="542"/>
    <n v="16"/>
    <n v="169"/>
    <n v="54"/>
    <x v="1"/>
    <s v="Female"/>
    <n v="1"/>
    <s v="No"/>
    <x v="2"/>
    <s v="No"/>
    <s v="No"/>
    <m/>
  </r>
  <r>
    <n v="285"/>
    <s v="Google Pixel 5"/>
    <s v="Android"/>
    <n v="411"/>
    <n v="6.9"/>
    <n v="1820"/>
    <n v="70"/>
    <n v="1024"/>
    <n v="43"/>
    <x v="1"/>
    <s v="Male"/>
    <n v="4"/>
    <s v="Yes"/>
    <x v="0"/>
    <s v="No"/>
    <s v="No"/>
    <m/>
  </r>
  <r>
    <n v="286"/>
    <s v="OnePlus 9"/>
    <s v="Android"/>
    <n v="534"/>
    <n v="10.8"/>
    <n v="2805"/>
    <n v="90"/>
    <n v="1538"/>
    <n v="37"/>
    <x v="0"/>
    <s v="Male"/>
    <n v="5"/>
    <s v="Yes"/>
    <x v="0"/>
    <s v="Yes"/>
    <s v="Yes"/>
    <m/>
  </r>
  <r>
    <n v="287"/>
    <s v="Samsung Galaxy S21"/>
    <s v="Android"/>
    <n v="314"/>
    <n v="7.4"/>
    <n v="2136"/>
    <n v="64"/>
    <n v="1376"/>
    <n v="47"/>
    <x v="1"/>
    <s v="Female"/>
    <n v="4"/>
    <s v="Yes"/>
    <x v="0"/>
    <s v="Yes"/>
    <s v="No"/>
    <m/>
  </r>
  <r>
    <n v="288"/>
    <s v="Xiaomi Mi 11"/>
    <s v="Android"/>
    <n v="211"/>
    <n v="4"/>
    <n v="1519"/>
    <n v="54"/>
    <n v="811"/>
    <n v="29"/>
    <x v="0"/>
    <s v="Female"/>
    <n v="3"/>
    <s v="Yes"/>
    <x v="0"/>
    <s v="No"/>
    <s v="No"/>
    <m/>
  </r>
  <r>
    <n v="289"/>
    <s v="OnePlus 9"/>
    <s v="Android"/>
    <n v="121"/>
    <n v="3.7"/>
    <n v="619"/>
    <n v="36"/>
    <n v="473"/>
    <n v="47"/>
    <x v="1"/>
    <s v="Male"/>
    <n v="2"/>
    <s v="Yes"/>
    <x v="1"/>
    <s v="No"/>
    <s v="No"/>
    <m/>
  </r>
  <r>
    <n v="290"/>
    <s v="Google Pixel 5"/>
    <s v="Android"/>
    <n v="84"/>
    <n v="1.2"/>
    <n v="415"/>
    <n v="10"/>
    <n v="146"/>
    <n v="50"/>
    <x v="1"/>
    <s v="Male"/>
    <n v="1"/>
    <s v="Yes"/>
    <x v="1"/>
    <s v="No"/>
    <s v="No"/>
    <m/>
  </r>
  <r>
    <n v="291"/>
    <s v="OnePlus 9"/>
    <s v="Android"/>
    <n v="448"/>
    <n v="7.6"/>
    <n v="2199"/>
    <n v="66"/>
    <n v="1047"/>
    <n v="28"/>
    <x v="0"/>
    <s v="Male"/>
    <n v="4"/>
    <s v="Yes"/>
    <x v="0"/>
    <s v="No"/>
    <s v="No"/>
    <m/>
  </r>
  <r>
    <n v="292"/>
    <s v="Google Pixel 5"/>
    <s v="Android"/>
    <n v="55"/>
    <n v="1.6"/>
    <n v="360"/>
    <n v="19"/>
    <n v="149"/>
    <n v="30"/>
    <x v="0"/>
    <s v="Male"/>
    <n v="1"/>
    <s v="No"/>
    <x v="2"/>
    <s v="No"/>
    <s v="No"/>
    <m/>
  </r>
  <r>
    <n v="293"/>
    <s v="Google Pixel 5"/>
    <s v="Android"/>
    <n v="59"/>
    <n v="1.8"/>
    <n v="497"/>
    <n v="10"/>
    <n v="208"/>
    <n v="36"/>
    <x v="0"/>
    <s v="Female"/>
    <n v="1"/>
    <s v="No"/>
    <x v="2"/>
    <s v="No"/>
    <s v="No"/>
    <m/>
  </r>
  <r>
    <n v="294"/>
    <s v="Xiaomi Mi 11"/>
    <s v="Android"/>
    <n v="226"/>
    <n v="4.5"/>
    <n v="1781"/>
    <n v="45"/>
    <n v="649"/>
    <n v="27"/>
    <x v="0"/>
    <s v="Female"/>
    <n v="3"/>
    <s v="Yes"/>
    <x v="0"/>
    <s v="No"/>
    <s v="No"/>
    <m/>
  </r>
  <r>
    <n v="295"/>
    <s v="Samsung Galaxy S21"/>
    <s v="Android"/>
    <n v="580"/>
    <n v="8.5"/>
    <n v="2660"/>
    <n v="87"/>
    <n v="1795"/>
    <n v="52"/>
    <x v="1"/>
    <s v="Male"/>
    <n v="5"/>
    <s v="Yes"/>
    <x v="0"/>
    <s v="Yes"/>
    <s v="Yes"/>
    <m/>
  </r>
  <r>
    <n v="296"/>
    <s v="OnePlus 9"/>
    <s v="Android"/>
    <n v="65"/>
    <n v="1.8"/>
    <n v="481"/>
    <n v="18"/>
    <n v="130"/>
    <n v="41"/>
    <x v="1"/>
    <s v="Male"/>
    <n v="1"/>
    <s v="Yes"/>
    <x v="1"/>
    <s v="No"/>
    <s v="No"/>
    <m/>
  </r>
  <r>
    <n v="297"/>
    <s v="OnePlus 9"/>
    <s v="Android"/>
    <n v="458"/>
    <n v="6.6"/>
    <n v="2214"/>
    <n v="67"/>
    <n v="1163"/>
    <n v="31"/>
    <x v="0"/>
    <s v="Female"/>
    <n v="4"/>
    <s v="Yes"/>
    <x v="0"/>
    <s v="No"/>
    <s v="No"/>
    <m/>
  </r>
  <r>
    <n v="298"/>
    <s v="iPhone 12"/>
    <s v="iOS"/>
    <n v="170"/>
    <n v="2.7"/>
    <n v="805"/>
    <n v="26"/>
    <n v="344"/>
    <n v="53"/>
    <x v="1"/>
    <s v="Female"/>
    <n v="2"/>
    <s v="Yes"/>
    <x v="1"/>
    <s v="No"/>
    <s v="No"/>
    <m/>
  </r>
  <r>
    <n v="299"/>
    <s v="iPhone 12"/>
    <s v="iOS"/>
    <n v="264"/>
    <n v="5.2"/>
    <n v="1641"/>
    <n v="44"/>
    <n v="778"/>
    <n v="44"/>
    <x v="1"/>
    <s v="Male"/>
    <n v="3"/>
    <s v="Yes"/>
    <x v="0"/>
    <s v="No"/>
    <s v="No"/>
    <m/>
  </r>
  <r>
    <n v="300"/>
    <s v="Xiaomi Mi 11"/>
    <s v="Android"/>
    <n v="122"/>
    <n v="3.3"/>
    <n v="748"/>
    <n v="35"/>
    <n v="499"/>
    <n v="59"/>
    <x v="1"/>
    <s v="Female"/>
    <n v="2"/>
    <s v="Yes"/>
    <x v="1"/>
    <s v="No"/>
    <s v="No"/>
    <m/>
  </r>
  <r>
    <n v="301"/>
    <s v="Xiaomi Mi 11"/>
    <s v="Android"/>
    <n v="420"/>
    <n v="6.5"/>
    <n v="2113"/>
    <n v="65"/>
    <n v="1314"/>
    <n v="35"/>
    <x v="0"/>
    <s v="Male"/>
    <n v="4"/>
    <s v="Yes"/>
    <x v="0"/>
    <s v="No"/>
    <s v="No"/>
    <m/>
  </r>
  <r>
    <n v="302"/>
    <s v="iPhone 12"/>
    <s v="iOS"/>
    <n v="267"/>
    <n v="4.4000000000000004"/>
    <n v="1505"/>
    <n v="59"/>
    <n v="971"/>
    <n v="38"/>
    <x v="0"/>
    <s v="Female"/>
    <n v="3"/>
    <s v="Yes"/>
    <x v="0"/>
    <s v="No"/>
    <s v="No"/>
    <m/>
  </r>
  <r>
    <n v="303"/>
    <s v="iPhone 12"/>
    <s v="iOS"/>
    <n v="469"/>
    <n v="6"/>
    <n v="2290"/>
    <n v="67"/>
    <n v="1086"/>
    <n v="34"/>
    <x v="0"/>
    <s v="Female"/>
    <n v="4"/>
    <s v="Yes"/>
    <x v="0"/>
    <s v="No"/>
    <s v="Yes"/>
    <m/>
  </r>
  <r>
    <n v="304"/>
    <s v="iPhone 12"/>
    <s v="iOS"/>
    <n v="541"/>
    <n v="11.4"/>
    <n v="2443"/>
    <n v="89"/>
    <n v="1923"/>
    <n v="34"/>
    <x v="0"/>
    <s v="Female"/>
    <n v="5"/>
    <s v="Yes"/>
    <x v="0"/>
    <s v="Yes"/>
    <s v="Yes"/>
    <m/>
  </r>
  <r>
    <n v="305"/>
    <s v="iPhone 12"/>
    <s v="iOS"/>
    <n v="155"/>
    <n v="2.9"/>
    <n v="1117"/>
    <n v="22"/>
    <n v="322"/>
    <n v="19"/>
    <x v="2"/>
    <s v="Female"/>
    <n v="2"/>
    <s v="Yes"/>
    <x v="1"/>
    <s v="No"/>
    <s v="No"/>
    <m/>
  </r>
  <r>
    <n v="306"/>
    <s v="OnePlus 9"/>
    <s v="Android"/>
    <n v="106"/>
    <n v="2.8"/>
    <n v="686"/>
    <n v="32"/>
    <n v="594"/>
    <n v="27"/>
    <x v="0"/>
    <s v="Male"/>
    <n v="2"/>
    <s v="Yes"/>
    <x v="1"/>
    <s v="No"/>
    <s v="No"/>
    <m/>
  </r>
  <r>
    <n v="307"/>
    <s v="OnePlus 9"/>
    <s v="Android"/>
    <n v="243"/>
    <n v="5"/>
    <n v="1232"/>
    <n v="47"/>
    <n v="877"/>
    <n v="43"/>
    <x v="1"/>
    <s v="Male"/>
    <n v="3"/>
    <s v="Yes"/>
    <x v="0"/>
    <s v="No"/>
    <s v="No"/>
    <m/>
  </r>
  <r>
    <n v="308"/>
    <s v="OnePlus 9"/>
    <s v="Android"/>
    <n v="410"/>
    <n v="7.5"/>
    <n v="2176"/>
    <n v="68"/>
    <n v="1213"/>
    <n v="45"/>
    <x v="1"/>
    <s v="Female"/>
    <n v="4"/>
    <s v="Yes"/>
    <x v="0"/>
    <s v="No"/>
    <s v="No"/>
    <m/>
  </r>
  <r>
    <n v="309"/>
    <s v="iPhone 12"/>
    <s v="iOS"/>
    <n v="285"/>
    <n v="5.0999999999999996"/>
    <n v="1226"/>
    <n v="57"/>
    <n v="666"/>
    <n v="20"/>
    <x v="2"/>
    <s v="Female"/>
    <n v="3"/>
    <s v="Yes"/>
    <x v="0"/>
    <s v="No"/>
    <s v="No"/>
    <m/>
  </r>
  <r>
    <n v="310"/>
    <s v="OnePlus 9"/>
    <s v="Android"/>
    <n v="397"/>
    <n v="6.8"/>
    <n v="2027"/>
    <n v="66"/>
    <n v="1167"/>
    <n v="40"/>
    <x v="0"/>
    <s v="Male"/>
    <n v="4"/>
    <s v="Yes"/>
    <x v="0"/>
    <s v="No"/>
    <s v="No"/>
    <m/>
  </r>
  <r>
    <n v="311"/>
    <s v="Samsung Galaxy S21"/>
    <s v="Android"/>
    <n v="230"/>
    <n v="4.2"/>
    <n v="1507"/>
    <n v="51"/>
    <n v="868"/>
    <n v="25"/>
    <x v="0"/>
    <s v="Female"/>
    <n v="3"/>
    <s v="Yes"/>
    <x v="0"/>
    <s v="No"/>
    <s v="No"/>
    <m/>
  </r>
  <r>
    <n v="312"/>
    <s v="iPhone 12"/>
    <s v="iOS"/>
    <n v="341"/>
    <n v="7.2"/>
    <n v="2397"/>
    <n v="68"/>
    <n v="1055"/>
    <n v="32"/>
    <x v="0"/>
    <s v="Female"/>
    <n v="4"/>
    <s v="Yes"/>
    <x v="0"/>
    <s v="No"/>
    <s v="Yes"/>
    <m/>
  </r>
  <r>
    <n v="313"/>
    <s v="Google Pixel 5"/>
    <s v="Android"/>
    <n v="132"/>
    <n v="2.9"/>
    <n v="1054"/>
    <n v="32"/>
    <n v="563"/>
    <n v="20"/>
    <x v="2"/>
    <s v="Male"/>
    <n v="2"/>
    <s v="Yes"/>
    <x v="1"/>
    <s v="No"/>
    <s v="No"/>
    <m/>
  </r>
  <r>
    <n v="314"/>
    <s v="Xiaomi Mi 11"/>
    <s v="Android"/>
    <n v="130"/>
    <n v="3"/>
    <n v="820"/>
    <n v="21"/>
    <n v="308"/>
    <n v="49"/>
    <x v="1"/>
    <s v="Female"/>
    <n v="2"/>
    <s v="Yes"/>
    <x v="1"/>
    <s v="No"/>
    <s v="No"/>
    <m/>
  </r>
  <r>
    <n v="315"/>
    <s v="iPhone 12"/>
    <s v="iOS"/>
    <n v="281"/>
    <n v="4.9000000000000004"/>
    <n v="1566"/>
    <n v="59"/>
    <n v="632"/>
    <n v="29"/>
    <x v="0"/>
    <s v="Male"/>
    <n v="3"/>
    <s v="Yes"/>
    <x v="0"/>
    <s v="No"/>
    <s v="No"/>
    <m/>
  </r>
  <r>
    <n v="316"/>
    <s v="OnePlus 9"/>
    <s v="Android"/>
    <n v="74"/>
    <n v="2"/>
    <n v="320"/>
    <n v="11"/>
    <n v="103"/>
    <n v="55"/>
    <x v="1"/>
    <s v="Female"/>
    <n v="1"/>
    <s v="Yes"/>
    <x v="1"/>
    <s v="No"/>
    <s v="No"/>
    <m/>
  </r>
  <r>
    <n v="317"/>
    <s v="OnePlus 9"/>
    <s v="Android"/>
    <n v="299"/>
    <n v="4.3"/>
    <n v="1737"/>
    <n v="43"/>
    <n v="953"/>
    <n v="42"/>
    <x v="1"/>
    <s v="Female"/>
    <n v="3"/>
    <s v="Yes"/>
    <x v="0"/>
    <s v="No"/>
    <s v="No"/>
    <m/>
  </r>
  <r>
    <n v="318"/>
    <s v="Google Pixel 5"/>
    <s v="Android"/>
    <n v="116"/>
    <n v="2.2000000000000002"/>
    <n v="827"/>
    <n v="29"/>
    <n v="434"/>
    <n v="28"/>
    <x v="0"/>
    <s v="Female"/>
    <n v="2"/>
    <s v="Yes"/>
    <x v="1"/>
    <s v="No"/>
    <s v="No"/>
    <m/>
  </r>
  <r>
    <n v="319"/>
    <s v="OnePlus 9"/>
    <s v="Android"/>
    <n v="408"/>
    <n v="6.6"/>
    <n v="2026"/>
    <n v="63"/>
    <n v="1076"/>
    <n v="47"/>
    <x v="1"/>
    <s v="Female"/>
    <n v="4"/>
    <s v="Yes"/>
    <x v="0"/>
    <s v="No"/>
    <s v="No"/>
    <m/>
  </r>
  <r>
    <n v="320"/>
    <s v="Google Pixel 5"/>
    <s v="Android"/>
    <n v="508"/>
    <n v="11.3"/>
    <n v="2590"/>
    <n v="81"/>
    <n v="2481"/>
    <n v="51"/>
    <x v="1"/>
    <s v="Male"/>
    <n v="5"/>
    <s v="Yes"/>
    <x v="0"/>
    <s v="Yes"/>
    <s v="Yes"/>
    <m/>
  </r>
  <r>
    <n v="321"/>
    <s v="iPhone 12"/>
    <s v="iOS"/>
    <n v="227"/>
    <n v="4.4000000000000004"/>
    <n v="1275"/>
    <n v="56"/>
    <n v="984"/>
    <n v="22"/>
    <x v="2"/>
    <s v="Female"/>
    <n v="3"/>
    <s v="Yes"/>
    <x v="0"/>
    <s v="No"/>
    <s v="No"/>
    <m/>
  </r>
  <r>
    <n v="322"/>
    <s v="Google Pixel 5"/>
    <s v="Android"/>
    <n v="274"/>
    <n v="6"/>
    <n v="1489"/>
    <n v="56"/>
    <n v="666"/>
    <n v="57"/>
    <x v="1"/>
    <s v="Female"/>
    <n v="3"/>
    <s v="Yes"/>
    <x v="0"/>
    <s v="No"/>
    <s v="No"/>
    <m/>
  </r>
  <r>
    <n v="323"/>
    <s v="Google Pixel 5"/>
    <s v="Android"/>
    <n v="347"/>
    <n v="6.3"/>
    <n v="2001"/>
    <n v="61"/>
    <n v="1456"/>
    <n v="21"/>
    <x v="2"/>
    <s v="Female"/>
    <n v="4"/>
    <s v="Yes"/>
    <x v="0"/>
    <s v="Yes"/>
    <s v="No"/>
    <m/>
  </r>
  <r>
    <n v="324"/>
    <s v="Xiaomi Mi 11"/>
    <s v="Android"/>
    <n v="76"/>
    <n v="1.3"/>
    <n v="490"/>
    <n v="14"/>
    <n v="156"/>
    <n v="31"/>
    <x v="0"/>
    <s v="Female"/>
    <n v="1"/>
    <s v="Yes"/>
    <x v="1"/>
    <s v="No"/>
    <s v="No"/>
    <m/>
  </r>
  <r>
    <n v="325"/>
    <s v="iPhone 12"/>
    <s v="iOS"/>
    <n v="445"/>
    <n v="7.5"/>
    <n v="2007"/>
    <n v="78"/>
    <n v="1115"/>
    <n v="23"/>
    <x v="2"/>
    <s v="Male"/>
    <n v="4"/>
    <s v="Yes"/>
    <x v="0"/>
    <s v="No"/>
    <s v="No"/>
    <m/>
  </r>
  <r>
    <n v="326"/>
    <s v="OnePlus 9"/>
    <s v="Android"/>
    <n v="203"/>
    <n v="4.3"/>
    <n v="1554"/>
    <n v="54"/>
    <n v="638"/>
    <n v="25"/>
    <x v="0"/>
    <s v="Female"/>
    <n v="3"/>
    <s v="Yes"/>
    <x v="0"/>
    <s v="No"/>
    <s v="No"/>
    <m/>
  </r>
  <r>
    <n v="327"/>
    <s v="Samsung Galaxy S21"/>
    <s v="Android"/>
    <n v="199"/>
    <n v="6"/>
    <n v="1707"/>
    <n v="57"/>
    <n v="881"/>
    <n v="55"/>
    <x v="1"/>
    <s v="Male"/>
    <n v="3"/>
    <s v="Yes"/>
    <x v="0"/>
    <s v="No"/>
    <s v="No"/>
    <m/>
  </r>
  <r>
    <n v="328"/>
    <s v="OnePlus 9"/>
    <s v="Android"/>
    <n v="48"/>
    <n v="2"/>
    <n v="574"/>
    <n v="18"/>
    <n v="127"/>
    <n v="24"/>
    <x v="2"/>
    <s v="Female"/>
    <n v="1"/>
    <s v="No"/>
    <x v="2"/>
    <s v="No"/>
    <s v="No"/>
    <m/>
  </r>
  <r>
    <n v="329"/>
    <s v="OnePlus 9"/>
    <s v="Android"/>
    <n v="88"/>
    <n v="1.6"/>
    <n v="420"/>
    <n v="12"/>
    <n v="274"/>
    <n v="31"/>
    <x v="0"/>
    <s v="Female"/>
    <n v="1"/>
    <s v="Yes"/>
    <x v="1"/>
    <s v="No"/>
    <s v="No"/>
    <m/>
  </r>
  <r>
    <n v="330"/>
    <s v="iPhone 12"/>
    <s v="iOS"/>
    <n v="541"/>
    <n v="8.3000000000000007"/>
    <n v="2865"/>
    <n v="89"/>
    <n v="1820"/>
    <n v="42"/>
    <x v="1"/>
    <s v="Female"/>
    <n v="5"/>
    <s v="Yes"/>
    <x v="0"/>
    <s v="Yes"/>
    <s v="Yes"/>
    <m/>
  </r>
  <r>
    <n v="331"/>
    <s v="Google Pixel 5"/>
    <s v="Android"/>
    <n v="233"/>
    <n v="4.5999999999999996"/>
    <n v="1534"/>
    <n v="49"/>
    <n v="796"/>
    <n v="21"/>
    <x v="2"/>
    <s v="Female"/>
    <n v="3"/>
    <s v="Yes"/>
    <x v="0"/>
    <s v="No"/>
    <s v="No"/>
    <m/>
  </r>
  <r>
    <n v="332"/>
    <s v="iPhone 12"/>
    <s v="iOS"/>
    <n v="176"/>
    <n v="3.8"/>
    <n v="727"/>
    <n v="36"/>
    <n v="362"/>
    <n v="47"/>
    <x v="1"/>
    <s v="Female"/>
    <n v="2"/>
    <s v="Yes"/>
    <x v="1"/>
    <s v="No"/>
    <s v="No"/>
    <m/>
  </r>
  <r>
    <n v="333"/>
    <s v="OnePlus 9"/>
    <s v="Android"/>
    <n v="191"/>
    <n v="6"/>
    <n v="1762"/>
    <n v="45"/>
    <n v="904"/>
    <n v="54"/>
    <x v="1"/>
    <s v="Male"/>
    <n v="3"/>
    <s v="Yes"/>
    <x v="0"/>
    <s v="No"/>
    <s v="No"/>
    <m/>
  </r>
  <r>
    <n v="334"/>
    <s v="Google Pixel 5"/>
    <s v="Android"/>
    <n v="461"/>
    <n v="7.5"/>
    <n v="2001"/>
    <n v="69"/>
    <n v="1324"/>
    <n v="34"/>
    <x v="0"/>
    <s v="Female"/>
    <n v="4"/>
    <s v="Yes"/>
    <x v="0"/>
    <s v="No"/>
    <s v="No"/>
    <m/>
  </r>
  <r>
    <n v="335"/>
    <s v="Samsung Galaxy S21"/>
    <s v="Android"/>
    <n v="37"/>
    <n v="1.5"/>
    <n v="375"/>
    <n v="18"/>
    <n v="246"/>
    <n v="46"/>
    <x v="1"/>
    <s v="Female"/>
    <n v="1"/>
    <s v="No"/>
    <x v="2"/>
    <s v="No"/>
    <s v="No"/>
    <m/>
  </r>
  <r>
    <n v="336"/>
    <s v="OnePlus 9"/>
    <s v="Android"/>
    <n v="531"/>
    <n v="9.8000000000000007"/>
    <n v="2905"/>
    <n v="99"/>
    <n v="1632"/>
    <n v="45"/>
    <x v="1"/>
    <s v="Female"/>
    <n v="5"/>
    <s v="Yes"/>
    <x v="0"/>
    <s v="Yes"/>
    <s v="Yes"/>
    <m/>
  </r>
  <r>
    <n v="337"/>
    <s v="Samsung Galaxy S21"/>
    <s v="Android"/>
    <n v="473"/>
    <n v="7.9"/>
    <n v="2292"/>
    <n v="62"/>
    <n v="1472"/>
    <n v="44"/>
    <x v="1"/>
    <s v="Male"/>
    <n v="4"/>
    <s v="Yes"/>
    <x v="0"/>
    <s v="Yes"/>
    <s v="Yes"/>
    <m/>
  </r>
  <r>
    <n v="338"/>
    <s v="Samsung Galaxy S21"/>
    <s v="Android"/>
    <n v="30"/>
    <n v="1.3"/>
    <n v="561"/>
    <n v="15"/>
    <n v="252"/>
    <n v="34"/>
    <x v="0"/>
    <s v="Male"/>
    <n v="1"/>
    <s v="No"/>
    <x v="2"/>
    <s v="No"/>
    <s v="No"/>
    <m/>
  </r>
  <r>
    <n v="339"/>
    <s v="iPhone 12"/>
    <s v="iOS"/>
    <n v="306"/>
    <n v="6.1"/>
    <n v="2267"/>
    <n v="70"/>
    <n v="1449"/>
    <n v="46"/>
    <x v="1"/>
    <s v="Male"/>
    <n v="4"/>
    <s v="Yes"/>
    <x v="0"/>
    <s v="Yes"/>
    <s v="Yes"/>
    <m/>
  </r>
  <r>
    <n v="340"/>
    <s v="iPhone 12"/>
    <s v="iOS"/>
    <n v="64"/>
    <n v="1.2"/>
    <n v="590"/>
    <n v="13"/>
    <n v="155"/>
    <n v="30"/>
    <x v="0"/>
    <s v="Male"/>
    <n v="1"/>
    <s v="Yes"/>
    <x v="1"/>
    <s v="No"/>
    <s v="No"/>
    <m/>
  </r>
  <r>
    <n v="341"/>
    <s v="iPhone 12"/>
    <s v="iOS"/>
    <n v="75"/>
    <n v="1"/>
    <n v="435"/>
    <n v="13"/>
    <n v="223"/>
    <n v="43"/>
    <x v="1"/>
    <s v="Male"/>
    <n v="1"/>
    <s v="Yes"/>
    <x v="1"/>
    <s v="No"/>
    <s v="No"/>
    <m/>
  </r>
  <r>
    <n v="342"/>
    <s v="iPhone 12"/>
    <s v="iOS"/>
    <n v="597"/>
    <n v="10.3"/>
    <n v="2718"/>
    <n v="90"/>
    <n v="1863"/>
    <n v="26"/>
    <x v="0"/>
    <s v="Female"/>
    <n v="5"/>
    <s v="Yes"/>
    <x v="0"/>
    <s v="Yes"/>
    <s v="Yes"/>
    <m/>
  </r>
  <r>
    <n v="343"/>
    <s v="iPhone 12"/>
    <s v="iOS"/>
    <n v="529"/>
    <n v="10.5"/>
    <n v="2971"/>
    <n v="87"/>
    <n v="1683"/>
    <n v="56"/>
    <x v="1"/>
    <s v="Male"/>
    <n v="5"/>
    <s v="Yes"/>
    <x v="0"/>
    <s v="Yes"/>
    <s v="Yes"/>
    <m/>
  </r>
  <r>
    <n v="344"/>
    <s v="iPhone 12"/>
    <s v="iOS"/>
    <n v="290"/>
    <n v="6"/>
    <n v="1533"/>
    <n v="54"/>
    <n v="645"/>
    <n v="57"/>
    <x v="1"/>
    <s v="Female"/>
    <n v="3"/>
    <s v="Yes"/>
    <x v="0"/>
    <s v="No"/>
    <s v="No"/>
    <m/>
  </r>
  <r>
    <n v="345"/>
    <s v="iPhone 12"/>
    <s v="iOS"/>
    <n v="256"/>
    <n v="5.8"/>
    <n v="1309"/>
    <n v="52"/>
    <n v="840"/>
    <n v="43"/>
    <x v="1"/>
    <s v="Male"/>
    <n v="3"/>
    <s v="Yes"/>
    <x v="0"/>
    <s v="No"/>
    <s v="No"/>
    <m/>
  </r>
  <r>
    <n v="346"/>
    <s v="iPhone 12"/>
    <s v="iOS"/>
    <n v="308"/>
    <n v="7.7"/>
    <n v="1974"/>
    <n v="73"/>
    <n v="1431"/>
    <n v="37"/>
    <x v="0"/>
    <s v="Female"/>
    <n v="4"/>
    <s v="Yes"/>
    <x v="0"/>
    <s v="Yes"/>
    <s v="No"/>
    <m/>
  </r>
  <r>
    <n v="347"/>
    <s v="OnePlus 9"/>
    <s v="Android"/>
    <n v="156"/>
    <n v="3.3"/>
    <n v="1020"/>
    <n v="38"/>
    <n v="447"/>
    <n v="57"/>
    <x v="1"/>
    <s v="Female"/>
    <n v="2"/>
    <s v="Yes"/>
    <x v="1"/>
    <s v="No"/>
    <s v="No"/>
    <m/>
  </r>
  <r>
    <n v="348"/>
    <s v="Samsung Galaxy S21"/>
    <s v="Android"/>
    <n v="62"/>
    <n v="1.4"/>
    <n v="542"/>
    <n v="18"/>
    <n v="266"/>
    <n v="46"/>
    <x v="1"/>
    <s v="Male"/>
    <n v="1"/>
    <s v="Yes"/>
    <x v="1"/>
    <s v="No"/>
    <s v="No"/>
    <m/>
  </r>
  <r>
    <n v="349"/>
    <s v="Google Pixel 5"/>
    <s v="Android"/>
    <n v="156"/>
    <n v="3.8"/>
    <n v="866"/>
    <n v="34"/>
    <n v="510"/>
    <n v="26"/>
    <x v="0"/>
    <s v="Male"/>
    <n v="2"/>
    <s v="Yes"/>
    <x v="1"/>
    <s v="No"/>
    <s v="No"/>
    <m/>
  </r>
  <r>
    <n v="350"/>
    <s v="Samsung Galaxy S21"/>
    <s v="Android"/>
    <n v="303"/>
    <n v="7.4"/>
    <n v="2314"/>
    <n v="66"/>
    <n v="1387"/>
    <n v="34"/>
    <x v="0"/>
    <s v="Male"/>
    <n v="4"/>
    <s v="Yes"/>
    <x v="0"/>
    <s v="Yes"/>
    <s v="Yes"/>
    <m/>
  </r>
  <r>
    <n v="351"/>
    <s v="Samsung Galaxy S21"/>
    <s v="Android"/>
    <n v="463"/>
    <n v="6.9"/>
    <n v="2111"/>
    <n v="73"/>
    <n v="1463"/>
    <n v="54"/>
    <x v="1"/>
    <s v="Male"/>
    <n v="4"/>
    <s v="Yes"/>
    <x v="0"/>
    <s v="Yes"/>
    <s v="No"/>
    <m/>
  </r>
  <r>
    <n v="352"/>
    <s v="Google Pixel 5"/>
    <s v="Android"/>
    <n v="60"/>
    <n v="1.5"/>
    <n v="593"/>
    <n v="14"/>
    <n v="281"/>
    <n v="35"/>
    <x v="0"/>
    <s v="Female"/>
    <n v="1"/>
    <s v="Yes"/>
    <x v="1"/>
    <s v="No"/>
    <s v="No"/>
    <m/>
  </r>
  <r>
    <n v="353"/>
    <s v="Google Pixel 5"/>
    <s v="Android"/>
    <n v="225"/>
    <n v="4.5999999999999996"/>
    <n v="1230"/>
    <n v="52"/>
    <n v="954"/>
    <n v="20"/>
    <x v="2"/>
    <s v="Female"/>
    <n v="3"/>
    <s v="Yes"/>
    <x v="0"/>
    <s v="No"/>
    <s v="No"/>
    <m/>
  </r>
  <r>
    <n v="354"/>
    <s v="Samsung Galaxy S21"/>
    <s v="Android"/>
    <n v="379"/>
    <n v="7.5"/>
    <n v="1823"/>
    <n v="68"/>
    <n v="1075"/>
    <n v="53"/>
    <x v="1"/>
    <s v="Female"/>
    <n v="4"/>
    <s v="Yes"/>
    <x v="0"/>
    <s v="No"/>
    <s v="No"/>
    <m/>
  </r>
  <r>
    <n v="355"/>
    <s v="OnePlus 9"/>
    <s v="Android"/>
    <n v="53"/>
    <n v="1.4"/>
    <n v="455"/>
    <n v="14"/>
    <n v="106"/>
    <n v="54"/>
    <x v="1"/>
    <s v="Female"/>
    <n v="1"/>
    <s v="No"/>
    <x v="2"/>
    <s v="No"/>
    <s v="No"/>
    <m/>
  </r>
  <r>
    <n v="356"/>
    <s v="Samsung Galaxy S21"/>
    <s v="Android"/>
    <n v="30"/>
    <n v="1.9"/>
    <n v="574"/>
    <n v="19"/>
    <n v="287"/>
    <n v="45"/>
    <x v="1"/>
    <s v="Male"/>
    <n v="1"/>
    <s v="No"/>
    <x v="2"/>
    <s v="No"/>
    <s v="No"/>
    <m/>
  </r>
  <r>
    <n v="357"/>
    <s v="iPhone 12"/>
    <s v="iOS"/>
    <n v="291"/>
    <n v="4.0999999999999996"/>
    <n v="1326"/>
    <n v="51"/>
    <n v="905"/>
    <n v="55"/>
    <x v="1"/>
    <s v="Female"/>
    <n v="3"/>
    <s v="Yes"/>
    <x v="0"/>
    <s v="No"/>
    <s v="No"/>
    <m/>
  </r>
  <r>
    <n v="358"/>
    <s v="iPhone 12"/>
    <s v="iOS"/>
    <n v="488"/>
    <n v="9.5"/>
    <n v="2840"/>
    <n v="92"/>
    <n v="1986"/>
    <n v="48"/>
    <x v="1"/>
    <s v="Female"/>
    <n v="5"/>
    <s v="Yes"/>
    <x v="0"/>
    <s v="Yes"/>
    <s v="Yes"/>
    <m/>
  </r>
  <r>
    <n v="359"/>
    <s v="Google Pixel 5"/>
    <s v="Android"/>
    <n v="74"/>
    <n v="2"/>
    <n v="366"/>
    <n v="13"/>
    <n v="253"/>
    <n v="44"/>
    <x v="1"/>
    <s v="Female"/>
    <n v="1"/>
    <s v="Yes"/>
    <x v="1"/>
    <s v="No"/>
    <s v="No"/>
    <m/>
  </r>
  <r>
    <n v="360"/>
    <s v="Samsung Galaxy S21"/>
    <s v="Android"/>
    <n v="230"/>
    <n v="4.5999999999999996"/>
    <n v="1325"/>
    <n v="55"/>
    <n v="845"/>
    <n v="54"/>
    <x v="1"/>
    <s v="Female"/>
    <n v="3"/>
    <s v="Yes"/>
    <x v="0"/>
    <s v="No"/>
    <s v="No"/>
    <m/>
  </r>
  <r>
    <n v="361"/>
    <s v="Samsung Galaxy S21"/>
    <s v="Android"/>
    <n v="517"/>
    <n v="11.8"/>
    <n v="2435"/>
    <n v="86"/>
    <n v="2208"/>
    <n v="26"/>
    <x v="0"/>
    <s v="Male"/>
    <n v="5"/>
    <s v="Yes"/>
    <x v="0"/>
    <s v="Yes"/>
    <s v="Yes"/>
    <m/>
  </r>
  <r>
    <n v="362"/>
    <s v="OnePlus 9"/>
    <s v="Android"/>
    <n v="557"/>
    <n v="10.4"/>
    <n v="2900"/>
    <n v="97"/>
    <n v="1609"/>
    <n v="22"/>
    <x v="2"/>
    <s v="Male"/>
    <n v="5"/>
    <s v="Yes"/>
    <x v="0"/>
    <s v="Yes"/>
    <s v="Yes"/>
    <m/>
  </r>
  <r>
    <n v="363"/>
    <s v="Xiaomi Mi 11"/>
    <s v="Android"/>
    <n v="78"/>
    <n v="1.5"/>
    <n v="341"/>
    <n v="11"/>
    <n v="259"/>
    <n v="38"/>
    <x v="0"/>
    <s v="Female"/>
    <n v="1"/>
    <s v="Yes"/>
    <x v="1"/>
    <s v="No"/>
    <s v="No"/>
    <m/>
  </r>
  <r>
    <n v="364"/>
    <s v="iPhone 12"/>
    <s v="iOS"/>
    <n v="321"/>
    <n v="7.9"/>
    <n v="2159"/>
    <n v="64"/>
    <n v="1499"/>
    <n v="45"/>
    <x v="1"/>
    <s v="Male"/>
    <n v="4"/>
    <s v="Yes"/>
    <x v="0"/>
    <s v="Yes"/>
    <s v="No"/>
    <m/>
  </r>
  <r>
    <n v="365"/>
    <s v="Xiaomi Mi 11"/>
    <s v="Android"/>
    <n v="579"/>
    <n v="8.6"/>
    <n v="2539"/>
    <n v="84"/>
    <n v="1935"/>
    <n v="34"/>
    <x v="0"/>
    <s v="Male"/>
    <n v="5"/>
    <s v="Yes"/>
    <x v="0"/>
    <s v="Yes"/>
    <s v="Yes"/>
    <m/>
  </r>
  <r>
    <n v="366"/>
    <s v="OnePlus 9"/>
    <s v="Android"/>
    <n v="382"/>
    <n v="7.2"/>
    <n v="1965"/>
    <n v="67"/>
    <n v="1341"/>
    <n v="22"/>
    <x v="2"/>
    <s v="Male"/>
    <n v="4"/>
    <s v="Yes"/>
    <x v="0"/>
    <s v="Yes"/>
    <s v="No"/>
    <m/>
  </r>
  <r>
    <n v="367"/>
    <s v="Xiaomi Mi 11"/>
    <s v="Android"/>
    <n v="516"/>
    <n v="11.6"/>
    <n v="2464"/>
    <n v="82"/>
    <n v="1767"/>
    <n v="29"/>
    <x v="0"/>
    <s v="Female"/>
    <n v="5"/>
    <s v="Yes"/>
    <x v="0"/>
    <s v="Yes"/>
    <s v="Yes"/>
    <m/>
  </r>
  <r>
    <n v="368"/>
    <s v="OnePlus 9"/>
    <s v="Android"/>
    <n v="598"/>
    <n v="11.2"/>
    <n v="2876"/>
    <n v="85"/>
    <n v="2477"/>
    <n v="58"/>
    <x v="1"/>
    <s v="Female"/>
    <n v="5"/>
    <s v="Yes"/>
    <x v="0"/>
    <s v="Yes"/>
    <s v="Yes"/>
    <m/>
  </r>
  <r>
    <n v="369"/>
    <s v="OnePlus 9"/>
    <s v="Android"/>
    <n v="102"/>
    <n v="3.9"/>
    <n v="747"/>
    <n v="36"/>
    <n v="408"/>
    <n v="49"/>
    <x v="1"/>
    <s v="Female"/>
    <n v="2"/>
    <s v="Yes"/>
    <x v="1"/>
    <s v="No"/>
    <s v="No"/>
    <m/>
  </r>
  <r>
    <n v="370"/>
    <s v="iPhone 12"/>
    <s v="iOS"/>
    <n v="165"/>
    <n v="2.4"/>
    <n v="816"/>
    <n v="35"/>
    <n v="503"/>
    <n v="34"/>
    <x v="0"/>
    <s v="Male"/>
    <n v="2"/>
    <s v="Yes"/>
    <x v="1"/>
    <s v="No"/>
    <s v="No"/>
    <m/>
  </r>
  <r>
    <n v="371"/>
    <s v="iPhone 12"/>
    <s v="iOS"/>
    <n v="558"/>
    <n v="9.8000000000000007"/>
    <n v="2765"/>
    <n v="83"/>
    <n v="1548"/>
    <n v="25"/>
    <x v="0"/>
    <s v="Female"/>
    <n v="5"/>
    <s v="Yes"/>
    <x v="0"/>
    <s v="Yes"/>
    <s v="Yes"/>
    <m/>
  </r>
  <r>
    <n v="372"/>
    <s v="Google Pixel 5"/>
    <s v="Android"/>
    <n v="561"/>
    <n v="10.6"/>
    <n v="2547"/>
    <n v="86"/>
    <n v="1823"/>
    <n v="22"/>
    <x v="2"/>
    <s v="Male"/>
    <n v="5"/>
    <s v="Yes"/>
    <x v="0"/>
    <s v="Yes"/>
    <s v="Yes"/>
    <m/>
  </r>
  <r>
    <n v="373"/>
    <s v="Samsung Galaxy S21"/>
    <s v="Android"/>
    <n v="511"/>
    <n v="10.9"/>
    <n v="2514"/>
    <n v="91"/>
    <n v="2335"/>
    <n v="59"/>
    <x v="1"/>
    <s v="Female"/>
    <n v="5"/>
    <s v="Yes"/>
    <x v="0"/>
    <s v="Yes"/>
    <s v="Yes"/>
    <m/>
  </r>
  <r>
    <n v="374"/>
    <s v="Google Pixel 5"/>
    <s v="Android"/>
    <n v="560"/>
    <n v="11.3"/>
    <n v="2947"/>
    <n v="95"/>
    <n v="1663"/>
    <n v="25"/>
    <x v="0"/>
    <s v="Female"/>
    <n v="5"/>
    <s v="Yes"/>
    <x v="0"/>
    <s v="Yes"/>
    <s v="Yes"/>
    <m/>
  </r>
  <r>
    <n v="375"/>
    <s v="OnePlus 9"/>
    <s v="Android"/>
    <n v="69"/>
    <n v="1.3"/>
    <n v="434"/>
    <n v="12"/>
    <n v="164"/>
    <n v="42"/>
    <x v="1"/>
    <s v="Male"/>
    <n v="1"/>
    <s v="Yes"/>
    <x v="1"/>
    <s v="No"/>
    <s v="No"/>
    <m/>
  </r>
  <r>
    <n v="376"/>
    <s v="OnePlus 9"/>
    <s v="Android"/>
    <n v="44"/>
    <n v="1.1000000000000001"/>
    <n v="531"/>
    <n v="17"/>
    <n v="232"/>
    <n v="26"/>
    <x v="0"/>
    <s v="Male"/>
    <n v="1"/>
    <s v="No"/>
    <x v="2"/>
    <s v="No"/>
    <s v="No"/>
    <m/>
  </r>
  <r>
    <n v="377"/>
    <s v="iPhone 12"/>
    <s v="iOS"/>
    <n v="65"/>
    <n v="1.7"/>
    <n v="490"/>
    <n v="17"/>
    <n v="122"/>
    <n v="51"/>
    <x v="1"/>
    <s v="Female"/>
    <n v="1"/>
    <s v="Yes"/>
    <x v="1"/>
    <s v="No"/>
    <s v="No"/>
    <m/>
  </r>
  <r>
    <n v="378"/>
    <s v="Google Pixel 5"/>
    <s v="Android"/>
    <n v="458"/>
    <n v="6"/>
    <n v="1875"/>
    <n v="63"/>
    <n v="1072"/>
    <n v="31"/>
    <x v="0"/>
    <s v="Female"/>
    <n v="4"/>
    <s v="Yes"/>
    <x v="0"/>
    <s v="No"/>
    <s v="No"/>
    <m/>
  </r>
  <r>
    <n v="379"/>
    <s v="Samsung Galaxy S21"/>
    <s v="Android"/>
    <n v="525"/>
    <n v="10.8"/>
    <n v="2445"/>
    <n v="99"/>
    <n v="1623"/>
    <n v="57"/>
    <x v="1"/>
    <s v="Male"/>
    <n v="5"/>
    <s v="Yes"/>
    <x v="0"/>
    <s v="Yes"/>
    <s v="Yes"/>
    <m/>
  </r>
  <r>
    <n v="380"/>
    <s v="OnePlus 9"/>
    <s v="Android"/>
    <n v="106"/>
    <n v="3"/>
    <n v="922"/>
    <n v="22"/>
    <n v="313"/>
    <n v="51"/>
    <x v="1"/>
    <s v="Male"/>
    <n v="2"/>
    <s v="Yes"/>
    <x v="1"/>
    <s v="No"/>
    <s v="No"/>
    <m/>
  </r>
  <r>
    <n v="381"/>
    <s v="iPhone 12"/>
    <s v="iOS"/>
    <n v="188"/>
    <n v="4.5999999999999996"/>
    <n v="1767"/>
    <n v="47"/>
    <n v="653"/>
    <n v="34"/>
    <x v="0"/>
    <s v="Male"/>
    <n v="3"/>
    <s v="Yes"/>
    <x v="0"/>
    <s v="No"/>
    <s v="No"/>
    <m/>
  </r>
  <r>
    <n v="382"/>
    <s v="iPhone 12"/>
    <s v="iOS"/>
    <n v="493"/>
    <n v="10.4"/>
    <n v="2453"/>
    <n v="99"/>
    <n v="1813"/>
    <n v="39"/>
    <x v="0"/>
    <s v="Male"/>
    <n v="5"/>
    <s v="Yes"/>
    <x v="0"/>
    <s v="Yes"/>
    <s v="Yes"/>
    <m/>
  </r>
  <r>
    <n v="383"/>
    <s v="OnePlus 9"/>
    <s v="Android"/>
    <n v="84"/>
    <n v="1.5"/>
    <n v="373"/>
    <n v="19"/>
    <n v="299"/>
    <n v="37"/>
    <x v="0"/>
    <s v="Female"/>
    <n v="1"/>
    <s v="Yes"/>
    <x v="1"/>
    <s v="No"/>
    <s v="No"/>
    <m/>
  </r>
  <r>
    <n v="384"/>
    <s v="OnePlus 9"/>
    <s v="Android"/>
    <n v="104"/>
    <n v="2.9"/>
    <n v="653"/>
    <n v="35"/>
    <n v="322"/>
    <n v="30"/>
    <x v="0"/>
    <s v="Male"/>
    <n v="2"/>
    <s v="Yes"/>
    <x v="1"/>
    <s v="No"/>
    <s v="No"/>
    <m/>
  </r>
  <r>
    <n v="385"/>
    <s v="Samsung Galaxy S21"/>
    <s v="Android"/>
    <n v="102"/>
    <n v="3"/>
    <n v="890"/>
    <n v="38"/>
    <n v="548"/>
    <n v="28"/>
    <x v="0"/>
    <s v="Male"/>
    <n v="2"/>
    <s v="Yes"/>
    <x v="1"/>
    <s v="No"/>
    <s v="No"/>
    <m/>
  </r>
  <r>
    <n v="386"/>
    <s v="iPhone 12"/>
    <s v="iOS"/>
    <n v="349"/>
    <n v="6.6"/>
    <n v="2041"/>
    <n v="78"/>
    <n v="1096"/>
    <n v="40"/>
    <x v="0"/>
    <s v="Female"/>
    <n v="4"/>
    <s v="Yes"/>
    <x v="0"/>
    <s v="No"/>
    <s v="No"/>
    <m/>
  </r>
  <r>
    <n v="387"/>
    <s v="OnePlus 9"/>
    <s v="Android"/>
    <n v="98"/>
    <n v="2"/>
    <n v="925"/>
    <n v="32"/>
    <n v="457"/>
    <n v="28"/>
    <x v="0"/>
    <s v="Male"/>
    <n v="2"/>
    <s v="Yes"/>
    <x v="1"/>
    <s v="No"/>
    <s v="No"/>
    <m/>
  </r>
  <r>
    <n v="388"/>
    <s v="Samsung Galaxy S21"/>
    <s v="Android"/>
    <n v="72"/>
    <n v="1.3"/>
    <n v="461"/>
    <n v="13"/>
    <n v="199"/>
    <n v="32"/>
    <x v="0"/>
    <s v="Male"/>
    <n v="1"/>
    <s v="Yes"/>
    <x v="1"/>
    <s v="No"/>
    <s v="No"/>
    <m/>
  </r>
  <r>
    <n v="389"/>
    <s v="Xiaomi Mi 11"/>
    <s v="Android"/>
    <n v="563"/>
    <n v="11.6"/>
    <n v="2968"/>
    <n v="92"/>
    <n v="2191"/>
    <n v="34"/>
    <x v="0"/>
    <s v="Female"/>
    <n v="5"/>
    <s v="Yes"/>
    <x v="0"/>
    <s v="Yes"/>
    <s v="Yes"/>
    <m/>
  </r>
  <r>
    <n v="390"/>
    <s v="Xiaomi Mi 11"/>
    <s v="Android"/>
    <n v="119"/>
    <n v="2.8"/>
    <n v="775"/>
    <n v="31"/>
    <n v="313"/>
    <n v="50"/>
    <x v="1"/>
    <s v="Female"/>
    <n v="2"/>
    <s v="Yes"/>
    <x v="1"/>
    <s v="No"/>
    <s v="No"/>
    <m/>
  </r>
  <r>
    <n v="391"/>
    <s v="OnePlus 9"/>
    <s v="Android"/>
    <n v="311"/>
    <n v="7.9"/>
    <n v="2231"/>
    <n v="69"/>
    <n v="1021"/>
    <n v="36"/>
    <x v="0"/>
    <s v="Male"/>
    <n v="4"/>
    <s v="Yes"/>
    <x v="0"/>
    <s v="No"/>
    <s v="Yes"/>
    <m/>
  </r>
  <r>
    <n v="392"/>
    <s v="OnePlus 9"/>
    <s v="Android"/>
    <n v="337"/>
    <n v="6.1"/>
    <n v="1901"/>
    <n v="76"/>
    <n v="1359"/>
    <n v="58"/>
    <x v="1"/>
    <s v="Male"/>
    <n v="4"/>
    <s v="Yes"/>
    <x v="0"/>
    <s v="Yes"/>
    <s v="No"/>
    <m/>
  </r>
  <r>
    <n v="393"/>
    <s v="Samsung Galaxy S21"/>
    <s v="Android"/>
    <n v="168"/>
    <n v="3.5"/>
    <n v="1055"/>
    <n v="29"/>
    <n v="313"/>
    <n v="54"/>
    <x v="1"/>
    <s v="Male"/>
    <n v="2"/>
    <s v="Yes"/>
    <x v="1"/>
    <s v="No"/>
    <s v="No"/>
    <m/>
  </r>
  <r>
    <n v="394"/>
    <s v="iPhone 12"/>
    <s v="iOS"/>
    <n v="331"/>
    <n v="7.4"/>
    <n v="2129"/>
    <n v="66"/>
    <n v="1459"/>
    <n v="53"/>
    <x v="1"/>
    <s v="Male"/>
    <n v="4"/>
    <s v="Yes"/>
    <x v="0"/>
    <s v="Yes"/>
    <s v="No"/>
    <m/>
  </r>
  <r>
    <n v="395"/>
    <s v="Google Pixel 5"/>
    <s v="Android"/>
    <n v="589"/>
    <n v="9.1999999999999993"/>
    <n v="2663"/>
    <n v="84"/>
    <n v="1774"/>
    <n v="45"/>
    <x v="1"/>
    <s v="Female"/>
    <n v="5"/>
    <s v="Yes"/>
    <x v="0"/>
    <s v="Yes"/>
    <s v="Yes"/>
    <m/>
  </r>
  <r>
    <n v="396"/>
    <s v="Xiaomi Mi 11"/>
    <s v="Android"/>
    <n v="472"/>
    <n v="6.8"/>
    <n v="2288"/>
    <n v="61"/>
    <n v="1356"/>
    <n v="52"/>
    <x v="1"/>
    <s v="Male"/>
    <n v="4"/>
    <s v="Yes"/>
    <x v="0"/>
    <s v="Yes"/>
    <s v="Yes"/>
    <m/>
  </r>
  <r>
    <n v="397"/>
    <s v="Xiaomi Mi 11"/>
    <s v="Android"/>
    <n v="78"/>
    <n v="1.1000000000000001"/>
    <n v="437"/>
    <n v="14"/>
    <n v="143"/>
    <n v="27"/>
    <x v="0"/>
    <s v="Female"/>
    <n v="1"/>
    <s v="Yes"/>
    <x v="1"/>
    <s v="No"/>
    <s v="No"/>
    <m/>
  </r>
  <r>
    <n v="398"/>
    <s v="iPhone 12"/>
    <s v="iOS"/>
    <n v="517"/>
    <n v="11.6"/>
    <n v="2798"/>
    <n v="90"/>
    <n v="2175"/>
    <n v="20"/>
    <x v="2"/>
    <s v="Male"/>
    <n v="5"/>
    <s v="Yes"/>
    <x v="0"/>
    <s v="Yes"/>
    <s v="Yes"/>
    <m/>
  </r>
  <r>
    <n v="399"/>
    <s v="OnePlus 9"/>
    <s v="Android"/>
    <n v="41"/>
    <n v="1.6"/>
    <n v="323"/>
    <n v="18"/>
    <n v="221"/>
    <n v="43"/>
    <x v="1"/>
    <s v="Female"/>
    <n v="1"/>
    <s v="No"/>
    <x v="2"/>
    <s v="No"/>
    <s v="No"/>
    <m/>
  </r>
  <r>
    <n v="400"/>
    <s v="OnePlus 9"/>
    <s v="Android"/>
    <n v="49"/>
    <n v="1.5"/>
    <n v="571"/>
    <n v="10"/>
    <n v="203"/>
    <n v="29"/>
    <x v="0"/>
    <s v="Male"/>
    <n v="1"/>
    <s v="No"/>
    <x v="2"/>
    <s v="No"/>
    <s v="No"/>
    <m/>
  </r>
  <r>
    <n v="401"/>
    <s v="Xiaomi Mi 11"/>
    <s v="Android"/>
    <n v="522"/>
    <n v="11.1"/>
    <n v="2821"/>
    <n v="86"/>
    <n v="1891"/>
    <n v="42"/>
    <x v="1"/>
    <s v="Male"/>
    <n v="5"/>
    <s v="Yes"/>
    <x v="0"/>
    <s v="Yes"/>
    <s v="Yes"/>
    <m/>
  </r>
  <r>
    <n v="402"/>
    <s v="Google Pixel 5"/>
    <s v="Android"/>
    <n v="97"/>
    <n v="2.7"/>
    <n v="612"/>
    <n v="36"/>
    <n v="508"/>
    <n v="53"/>
    <x v="1"/>
    <s v="Male"/>
    <n v="2"/>
    <s v="Yes"/>
    <x v="1"/>
    <s v="No"/>
    <s v="No"/>
    <m/>
  </r>
  <r>
    <n v="403"/>
    <s v="iPhone 12"/>
    <s v="iOS"/>
    <n v="411"/>
    <n v="7.4"/>
    <n v="1960"/>
    <n v="71"/>
    <n v="1264"/>
    <n v="40"/>
    <x v="0"/>
    <s v="Male"/>
    <n v="4"/>
    <s v="Yes"/>
    <x v="0"/>
    <s v="No"/>
    <s v="No"/>
    <m/>
  </r>
  <r>
    <n v="404"/>
    <s v="Samsung Galaxy S21"/>
    <s v="Android"/>
    <n v="566"/>
    <n v="8.6"/>
    <n v="2595"/>
    <n v="89"/>
    <n v="1657"/>
    <n v="51"/>
    <x v="1"/>
    <s v="Female"/>
    <n v="5"/>
    <s v="Yes"/>
    <x v="0"/>
    <s v="Yes"/>
    <s v="Yes"/>
    <m/>
  </r>
  <r>
    <n v="405"/>
    <s v="iPhone 12"/>
    <s v="iOS"/>
    <n v="559"/>
    <n v="8.1999999999999993"/>
    <n v="2618"/>
    <n v="84"/>
    <n v="2102"/>
    <n v="22"/>
    <x v="2"/>
    <s v="Female"/>
    <n v="5"/>
    <s v="Yes"/>
    <x v="0"/>
    <s v="Yes"/>
    <s v="Yes"/>
    <m/>
  </r>
  <r>
    <n v="406"/>
    <s v="Google Pixel 5"/>
    <s v="Android"/>
    <n v="478"/>
    <n v="7.3"/>
    <n v="2340"/>
    <n v="69"/>
    <n v="1017"/>
    <n v="43"/>
    <x v="1"/>
    <s v="Female"/>
    <n v="4"/>
    <s v="Yes"/>
    <x v="0"/>
    <s v="No"/>
    <s v="Yes"/>
    <m/>
  </r>
  <r>
    <n v="407"/>
    <s v="Xiaomi Mi 11"/>
    <s v="Android"/>
    <n v="147"/>
    <n v="3.2"/>
    <n v="994"/>
    <n v="33"/>
    <n v="567"/>
    <n v="25"/>
    <x v="0"/>
    <s v="Female"/>
    <n v="2"/>
    <s v="Yes"/>
    <x v="1"/>
    <s v="No"/>
    <s v="No"/>
    <m/>
  </r>
  <r>
    <n v="408"/>
    <s v="OnePlus 9"/>
    <s v="Android"/>
    <n v="395"/>
    <n v="7.3"/>
    <n v="2291"/>
    <n v="61"/>
    <n v="1049"/>
    <n v="55"/>
    <x v="1"/>
    <s v="Female"/>
    <n v="4"/>
    <s v="Yes"/>
    <x v="0"/>
    <s v="No"/>
    <s v="Yes"/>
    <m/>
  </r>
  <r>
    <n v="409"/>
    <s v="Samsung Galaxy S21"/>
    <s v="Android"/>
    <n v="357"/>
    <n v="7.8"/>
    <n v="2289"/>
    <n v="74"/>
    <n v="1242"/>
    <n v="22"/>
    <x v="2"/>
    <s v="Female"/>
    <n v="4"/>
    <s v="Yes"/>
    <x v="0"/>
    <s v="No"/>
    <s v="Yes"/>
    <m/>
  </r>
  <r>
    <n v="410"/>
    <s v="Google Pixel 5"/>
    <s v="Android"/>
    <n v="405"/>
    <n v="6.9"/>
    <n v="2366"/>
    <n v="61"/>
    <n v="1434"/>
    <n v="51"/>
    <x v="1"/>
    <s v="Male"/>
    <n v="4"/>
    <s v="Yes"/>
    <x v="0"/>
    <s v="Yes"/>
    <s v="Yes"/>
    <m/>
  </r>
  <r>
    <n v="411"/>
    <s v="Samsung Galaxy S21"/>
    <s v="Android"/>
    <n v="501"/>
    <n v="11.8"/>
    <n v="2790"/>
    <n v="86"/>
    <n v="2074"/>
    <n v="31"/>
    <x v="0"/>
    <s v="Female"/>
    <n v="5"/>
    <s v="Yes"/>
    <x v="0"/>
    <s v="Yes"/>
    <s v="Yes"/>
    <m/>
  </r>
  <r>
    <n v="412"/>
    <s v="Xiaomi Mi 11"/>
    <s v="Android"/>
    <n v="575"/>
    <n v="8.1999999999999993"/>
    <n v="2918"/>
    <n v="88"/>
    <n v="1928"/>
    <n v="50"/>
    <x v="1"/>
    <s v="Male"/>
    <n v="5"/>
    <s v="Yes"/>
    <x v="0"/>
    <s v="Yes"/>
    <s v="Yes"/>
    <m/>
  </r>
  <r>
    <n v="413"/>
    <s v="OnePlus 9"/>
    <s v="Android"/>
    <n v="257"/>
    <n v="5.0999999999999996"/>
    <n v="1692"/>
    <n v="46"/>
    <n v="769"/>
    <n v="52"/>
    <x v="1"/>
    <s v="Female"/>
    <n v="3"/>
    <s v="Yes"/>
    <x v="0"/>
    <s v="No"/>
    <s v="No"/>
    <m/>
  </r>
  <r>
    <n v="414"/>
    <s v="iPhone 12"/>
    <s v="iOS"/>
    <n v="270"/>
    <n v="5"/>
    <n v="1532"/>
    <n v="51"/>
    <n v="957"/>
    <n v="35"/>
    <x v="0"/>
    <s v="Male"/>
    <n v="3"/>
    <s v="Yes"/>
    <x v="0"/>
    <s v="No"/>
    <s v="No"/>
    <m/>
  </r>
  <r>
    <n v="415"/>
    <s v="Google Pixel 5"/>
    <s v="Android"/>
    <n v="116"/>
    <n v="2"/>
    <n v="1171"/>
    <n v="22"/>
    <n v="573"/>
    <n v="33"/>
    <x v="0"/>
    <s v="Female"/>
    <n v="2"/>
    <s v="Yes"/>
    <x v="1"/>
    <s v="No"/>
    <s v="No"/>
    <m/>
  </r>
  <r>
    <n v="416"/>
    <s v="iPhone 12"/>
    <s v="iOS"/>
    <n v="98"/>
    <n v="2.2999999999999998"/>
    <n v="608"/>
    <n v="24"/>
    <n v="394"/>
    <n v="56"/>
    <x v="1"/>
    <s v="Male"/>
    <n v="2"/>
    <s v="Yes"/>
    <x v="1"/>
    <s v="No"/>
    <s v="No"/>
    <m/>
  </r>
  <r>
    <n v="417"/>
    <s v="Xiaomi Mi 11"/>
    <s v="Android"/>
    <n v="264"/>
    <n v="5.0999999999999996"/>
    <n v="1293"/>
    <n v="52"/>
    <n v="737"/>
    <n v="27"/>
    <x v="0"/>
    <s v="Female"/>
    <n v="3"/>
    <s v="Yes"/>
    <x v="0"/>
    <s v="No"/>
    <s v="No"/>
    <m/>
  </r>
  <r>
    <n v="418"/>
    <s v="Samsung Galaxy S21"/>
    <s v="Android"/>
    <n v="572"/>
    <n v="11.7"/>
    <n v="2655"/>
    <n v="91"/>
    <n v="2481"/>
    <n v="57"/>
    <x v="1"/>
    <s v="Female"/>
    <n v="5"/>
    <s v="Yes"/>
    <x v="0"/>
    <s v="Yes"/>
    <s v="Yes"/>
    <m/>
  </r>
  <r>
    <n v="419"/>
    <s v="Xiaomi Mi 11"/>
    <s v="Android"/>
    <n v="202"/>
    <n v="4.9000000000000004"/>
    <n v="1549"/>
    <n v="43"/>
    <n v="964"/>
    <n v="27"/>
    <x v="0"/>
    <s v="Female"/>
    <n v="3"/>
    <s v="Yes"/>
    <x v="0"/>
    <s v="No"/>
    <s v="No"/>
    <m/>
  </r>
  <r>
    <n v="420"/>
    <s v="iPhone 12"/>
    <s v="iOS"/>
    <n v="83"/>
    <n v="1.4"/>
    <n v="454"/>
    <n v="11"/>
    <n v="228"/>
    <n v="46"/>
    <x v="1"/>
    <s v="Male"/>
    <n v="1"/>
    <s v="Yes"/>
    <x v="1"/>
    <s v="No"/>
    <s v="No"/>
    <m/>
  </r>
  <r>
    <n v="421"/>
    <s v="iPhone 12"/>
    <s v="iOS"/>
    <n v="32"/>
    <n v="1.4"/>
    <n v="416"/>
    <n v="12"/>
    <n v="198"/>
    <n v="56"/>
    <x v="1"/>
    <s v="Male"/>
    <n v="1"/>
    <s v="No"/>
    <x v="2"/>
    <s v="No"/>
    <s v="No"/>
    <m/>
  </r>
  <r>
    <n v="422"/>
    <s v="iPhone 12"/>
    <s v="iOS"/>
    <n v="168"/>
    <n v="3.2"/>
    <n v="716"/>
    <n v="38"/>
    <n v="414"/>
    <n v="43"/>
    <x v="1"/>
    <s v="Male"/>
    <n v="2"/>
    <s v="Yes"/>
    <x v="1"/>
    <s v="No"/>
    <s v="No"/>
    <m/>
  </r>
  <r>
    <n v="423"/>
    <s v="iPhone 12"/>
    <s v="iOS"/>
    <n v="416"/>
    <n v="6.1"/>
    <n v="2115"/>
    <n v="71"/>
    <n v="1041"/>
    <n v="22"/>
    <x v="2"/>
    <s v="Female"/>
    <n v="4"/>
    <s v="Yes"/>
    <x v="0"/>
    <s v="No"/>
    <s v="No"/>
    <m/>
  </r>
  <r>
    <n v="424"/>
    <s v="Xiaomi Mi 11"/>
    <s v="Android"/>
    <n v="46"/>
    <n v="1.1000000000000001"/>
    <n v="536"/>
    <n v="18"/>
    <n v="167"/>
    <n v="28"/>
    <x v="0"/>
    <s v="Female"/>
    <n v="1"/>
    <s v="No"/>
    <x v="2"/>
    <s v="No"/>
    <s v="No"/>
    <m/>
  </r>
  <r>
    <n v="425"/>
    <s v="OnePlus 9"/>
    <s v="Android"/>
    <n v="201"/>
    <n v="5"/>
    <n v="1482"/>
    <n v="59"/>
    <n v="709"/>
    <n v="24"/>
    <x v="2"/>
    <s v="Male"/>
    <n v="3"/>
    <s v="Yes"/>
    <x v="0"/>
    <s v="No"/>
    <s v="No"/>
    <m/>
  </r>
  <r>
    <n v="426"/>
    <s v="Samsung Galaxy S21"/>
    <s v="Android"/>
    <n v="130"/>
    <n v="2.8"/>
    <n v="1062"/>
    <n v="24"/>
    <n v="579"/>
    <n v="37"/>
    <x v="0"/>
    <s v="Male"/>
    <n v="2"/>
    <s v="Yes"/>
    <x v="1"/>
    <s v="No"/>
    <s v="No"/>
    <m/>
  </r>
  <r>
    <n v="427"/>
    <s v="OnePlus 9"/>
    <s v="Android"/>
    <n v="98"/>
    <n v="2.4"/>
    <n v="747"/>
    <n v="36"/>
    <n v="403"/>
    <n v="44"/>
    <x v="1"/>
    <s v="Female"/>
    <n v="2"/>
    <s v="Yes"/>
    <x v="1"/>
    <s v="No"/>
    <s v="No"/>
    <m/>
  </r>
  <r>
    <n v="428"/>
    <s v="OnePlus 9"/>
    <s v="Android"/>
    <n v="105"/>
    <n v="3.8"/>
    <n v="967"/>
    <n v="28"/>
    <n v="489"/>
    <n v="51"/>
    <x v="1"/>
    <s v="Male"/>
    <n v="2"/>
    <s v="Yes"/>
    <x v="1"/>
    <s v="No"/>
    <s v="No"/>
    <m/>
  </r>
  <r>
    <n v="429"/>
    <s v="Xiaomi Mi 11"/>
    <s v="Android"/>
    <n v="94"/>
    <n v="2.2999999999999998"/>
    <n v="1033"/>
    <n v="33"/>
    <n v="369"/>
    <n v="58"/>
    <x v="1"/>
    <s v="Male"/>
    <n v="2"/>
    <s v="Yes"/>
    <x v="1"/>
    <s v="No"/>
    <s v="No"/>
    <m/>
  </r>
  <r>
    <n v="430"/>
    <s v="Xiaomi Mi 11"/>
    <s v="Android"/>
    <n v="540"/>
    <n v="10.1"/>
    <n v="2757"/>
    <n v="90"/>
    <n v="2180"/>
    <n v="37"/>
    <x v="0"/>
    <s v="Male"/>
    <n v="5"/>
    <s v="Yes"/>
    <x v="0"/>
    <s v="Yes"/>
    <s v="Yes"/>
    <m/>
  </r>
  <r>
    <n v="431"/>
    <s v="iPhone 12"/>
    <s v="iOS"/>
    <n v="266"/>
    <n v="5.5"/>
    <n v="1238"/>
    <n v="59"/>
    <n v="839"/>
    <n v="22"/>
    <x v="2"/>
    <s v="Male"/>
    <n v="3"/>
    <s v="Yes"/>
    <x v="0"/>
    <s v="No"/>
    <s v="No"/>
    <m/>
  </r>
  <r>
    <n v="432"/>
    <s v="iPhone 12"/>
    <s v="iOS"/>
    <n v="140"/>
    <n v="3.8"/>
    <n v="1137"/>
    <n v="36"/>
    <n v="506"/>
    <n v="53"/>
    <x v="1"/>
    <s v="Male"/>
    <n v="2"/>
    <s v="Yes"/>
    <x v="1"/>
    <s v="No"/>
    <s v="No"/>
    <m/>
  </r>
  <r>
    <n v="433"/>
    <s v="Google Pixel 5"/>
    <s v="Android"/>
    <n v="534"/>
    <n v="10.4"/>
    <n v="2672"/>
    <n v="90"/>
    <n v="1702"/>
    <n v="51"/>
    <x v="1"/>
    <s v="Male"/>
    <n v="5"/>
    <s v="Yes"/>
    <x v="0"/>
    <s v="Yes"/>
    <s v="Yes"/>
    <m/>
  </r>
  <r>
    <n v="434"/>
    <s v="OnePlus 9"/>
    <s v="Android"/>
    <n v="46"/>
    <n v="2"/>
    <n v="309"/>
    <n v="15"/>
    <n v="116"/>
    <n v="42"/>
    <x v="1"/>
    <s v="Male"/>
    <n v="1"/>
    <s v="No"/>
    <x v="2"/>
    <s v="No"/>
    <s v="No"/>
    <m/>
  </r>
  <r>
    <n v="435"/>
    <s v="iPhone 12"/>
    <s v="iOS"/>
    <n v="581"/>
    <n v="8.4"/>
    <n v="2591"/>
    <n v="99"/>
    <n v="2304"/>
    <n v="58"/>
    <x v="1"/>
    <s v="Male"/>
    <n v="5"/>
    <s v="Yes"/>
    <x v="0"/>
    <s v="Yes"/>
    <s v="Yes"/>
    <m/>
  </r>
  <r>
    <n v="436"/>
    <s v="Xiaomi Mi 11"/>
    <s v="Android"/>
    <n v="105"/>
    <n v="3.4"/>
    <n v="798"/>
    <n v="21"/>
    <n v="467"/>
    <n v="34"/>
    <x v="0"/>
    <s v="Female"/>
    <n v="2"/>
    <s v="Yes"/>
    <x v="1"/>
    <s v="No"/>
    <s v="No"/>
    <m/>
  </r>
  <r>
    <n v="437"/>
    <s v="OnePlus 9"/>
    <s v="Android"/>
    <n v="221"/>
    <n v="4.4000000000000004"/>
    <n v="1341"/>
    <n v="46"/>
    <n v="862"/>
    <n v="20"/>
    <x v="2"/>
    <s v="Male"/>
    <n v="3"/>
    <s v="Yes"/>
    <x v="0"/>
    <s v="No"/>
    <s v="No"/>
    <m/>
  </r>
  <r>
    <n v="438"/>
    <s v="iPhone 12"/>
    <s v="iOS"/>
    <n v="41"/>
    <n v="1.7"/>
    <n v="408"/>
    <n v="16"/>
    <n v="291"/>
    <n v="34"/>
    <x v="0"/>
    <s v="Male"/>
    <n v="1"/>
    <s v="No"/>
    <x v="2"/>
    <s v="No"/>
    <s v="No"/>
    <m/>
  </r>
  <r>
    <n v="439"/>
    <s v="OnePlus 9"/>
    <s v="Android"/>
    <n v="105"/>
    <n v="3"/>
    <n v="728"/>
    <n v="24"/>
    <n v="343"/>
    <n v="52"/>
    <x v="1"/>
    <s v="Female"/>
    <n v="2"/>
    <s v="Yes"/>
    <x v="1"/>
    <s v="No"/>
    <s v="No"/>
    <m/>
  </r>
  <r>
    <n v="440"/>
    <s v="Google Pixel 5"/>
    <s v="Android"/>
    <n v="123"/>
    <n v="3.9"/>
    <n v="915"/>
    <n v="39"/>
    <n v="468"/>
    <n v="18"/>
    <x v="2"/>
    <s v="Male"/>
    <n v="2"/>
    <s v="Yes"/>
    <x v="1"/>
    <s v="No"/>
    <s v="No"/>
    <m/>
  </r>
  <r>
    <n v="441"/>
    <s v="Google Pixel 5"/>
    <s v="Android"/>
    <n v="260"/>
    <n v="5.7"/>
    <n v="1725"/>
    <n v="56"/>
    <n v="920"/>
    <n v="36"/>
    <x v="0"/>
    <s v="Female"/>
    <n v="3"/>
    <s v="Yes"/>
    <x v="0"/>
    <s v="No"/>
    <s v="No"/>
    <m/>
  </r>
  <r>
    <n v="442"/>
    <s v="Samsung Galaxy S21"/>
    <s v="Android"/>
    <n v="223"/>
    <n v="5.7"/>
    <n v="1295"/>
    <n v="44"/>
    <n v="751"/>
    <n v="39"/>
    <x v="0"/>
    <s v="Male"/>
    <n v="3"/>
    <s v="Yes"/>
    <x v="0"/>
    <s v="No"/>
    <s v="No"/>
    <m/>
  </r>
  <r>
    <n v="443"/>
    <s v="Google Pixel 5"/>
    <s v="Android"/>
    <n v="66"/>
    <n v="1.1000000000000001"/>
    <n v="505"/>
    <n v="17"/>
    <n v="218"/>
    <n v="33"/>
    <x v="0"/>
    <s v="Male"/>
    <n v="1"/>
    <s v="Yes"/>
    <x v="1"/>
    <s v="No"/>
    <s v="No"/>
    <m/>
  </r>
  <r>
    <n v="444"/>
    <s v="iPhone 12"/>
    <s v="iOS"/>
    <n v="231"/>
    <n v="4"/>
    <n v="1664"/>
    <n v="48"/>
    <n v="724"/>
    <n v="29"/>
    <x v="0"/>
    <s v="Female"/>
    <n v="3"/>
    <s v="Yes"/>
    <x v="0"/>
    <s v="No"/>
    <s v="No"/>
    <m/>
  </r>
  <r>
    <n v="445"/>
    <s v="iPhone 12"/>
    <s v="iOS"/>
    <n v="555"/>
    <n v="8.8000000000000007"/>
    <n v="2540"/>
    <n v="97"/>
    <n v="2402"/>
    <n v="22"/>
    <x v="2"/>
    <s v="Male"/>
    <n v="5"/>
    <s v="Yes"/>
    <x v="0"/>
    <s v="Yes"/>
    <s v="Yes"/>
    <m/>
  </r>
  <r>
    <n v="446"/>
    <s v="Samsung Galaxy S21"/>
    <s v="Android"/>
    <n v="378"/>
    <n v="7.2"/>
    <n v="1859"/>
    <n v="61"/>
    <n v="1318"/>
    <n v="58"/>
    <x v="1"/>
    <s v="Male"/>
    <n v="4"/>
    <s v="Yes"/>
    <x v="0"/>
    <s v="No"/>
    <s v="No"/>
    <m/>
  </r>
  <r>
    <n v="447"/>
    <s v="OnePlus 9"/>
    <s v="Android"/>
    <n v="546"/>
    <n v="8.8000000000000007"/>
    <n v="2852"/>
    <n v="81"/>
    <n v="1641"/>
    <n v="24"/>
    <x v="2"/>
    <s v="Male"/>
    <n v="5"/>
    <s v="Yes"/>
    <x v="0"/>
    <s v="Yes"/>
    <s v="Yes"/>
    <m/>
  </r>
  <r>
    <n v="448"/>
    <s v="Samsung Galaxy S21"/>
    <s v="Android"/>
    <n v="234"/>
    <n v="5.2"/>
    <n v="1604"/>
    <n v="58"/>
    <n v="919"/>
    <n v="58"/>
    <x v="1"/>
    <s v="Male"/>
    <n v="3"/>
    <s v="Yes"/>
    <x v="0"/>
    <s v="No"/>
    <s v="No"/>
    <m/>
  </r>
  <r>
    <n v="449"/>
    <s v="Samsung Galaxy S21"/>
    <s v="Android"/>
    <n v="152"/>
    <n v="3"/>
    <n v="617"/>
    <n v="22"/>
    <n v="306"/>
    <n v="22"/>
    <x v="2"/>
    <s v="Female"/>
    <n v="2"/>
    <s v="Yes"/>
    <x v="1"/>
    <s v="No"/>
    <s v="No"/>
    <m/>
  </r>
  <r>
    <n v="450"/>
    <s v="Google Pixel 5"/>
    <s v="Android"/>
    <n v="34"/>
    <n v="1.2"/>
    <n v="518"/>
    <n v="10"/>
    <n v="170"/>
    <n v="20"/>
    <x v="2"/>
    <s v="Female"/>
    <n v="1"/>
    <s v="No"/>
    <x v="2"/>
    <s v="No"/>
    <s v="No"/>
    <m/>
  </r>
  <r>
    <n v="451"/>
    <s v="Samsung Galaxy S21"/>
    <s v="Android"/>
    <n v="179"/>
    <n v="3.5"/>
    <n v="1114"/>
    <n v="30"/>
    <n v="466"/>
    <n v="56"/>
    <x v="1"/>
    <s v="Male"/>
    <n v="2"/>
    <s v="Yes"/>
    <x v="1"/>
    <s v="No"/>
    <s v="No"/>
    <m/>
  </r>
  <r>
    <n v="452"/>
    <s v="OnePlus 9"/>
    <s v="Android"/>
    <n v="591"/>
    <n v="11.8"/>
    <n v="2953"/>
    <n v="92"/>
    <n v="1903"/>
    <n v="52"/>
    <x v="1"/>
    <s v="Male"/>
    <n v="5"/>
    <s v="Yes"/>
    <x v="0"/>
    <s v="Yes"/>
    <s v="Yes"/>
    <m/>
  </r>
  <r>
    <n v="453"/>
    <s v="Samsung Galaxy S21"/>
    <s v="Android"/>
    <n v="120"/>
    <n v="3.3"/>
    <n v="734"/>
    <n v="35"/>
    <n v="583"/>
    <n v="26"/>
    <x v="0"/>
    <s v="Male"/>
    <n v="2"/>
    <s v="Yes"/>
    <x v="1"/>
    <s v="No"/>
    <s v="No"/>
    <m/>
  </r>
  <r>
    <n v="454"/>
    <s v="Google Pixel 5"/>
    <s v="Android"/>
    <n v="88"/>
    <n v="1.3"/>
    <n v="557"/>
    <n v="13"/>
    <n v="164"/>
    <n v="43"/>
    <x v="1"/>
    <s v="Male"/>
    <n v="1"/>
    <s v="Yes"/>
    <x v="1"/>
    <s v="No"/>
    <s v="No"/>
    <m/>
  </r>
  <r>
    <n v="455"/>
    <s v="iPhone 12"/>
    <s v="iOS"/>
    <n v="143"/>
    <n v="3.9"/>
    <n v="1160"/>
    <n v="24"/>
    <n v="398"/>
    <n v="45"/>
    <x v="1"/>
    <s v="Male"/>
    <n v="2"/>
    <s v="Yes"/>
    <x v="1"/>
    <s v="No"/>
    <s v="No"/>
    <m/>
  </r>
  <r>
    <n v="456"/>
    <s v="iPhone 12"/>
    <s v="iOS"/>
    <n v="74"/>
    <n v="1.6"/>
    <n v="436"/>
    <n v="13"/>
    <n v="182"/>
    <n v="27"/>
    <x v="0"/>
    <s v="Female"/>
    <n v="1"/>
    <s v="Yes"/>
    <x v="1"/>
    <s v="No"/>
    <s v="No"/>
    <m/>
  </r>
  <r>
    <n v="457"/>
    <s v="iPhone 12"/>
    <s v="iOS"/>
    <n v="74"/>
    <n v="1.6"/>
    <n v="587"/>
    <n v="15"/>
    <n v="275"/>
    <n v="27"/>
    <x v="0"/>
    <s v="Female"/>
    <n v="1"/>
    <s v="Yes"/>
    <x v="1"/>
    <s v="No"/>
    <s v="No"/>
    <m/>
  </r>
  <r>
    <n v="458"/>
    <s v="OnePlus 9"/>
    <s v="Android"/>
    <n v="234"/>
    <n v="4.7"/>
    <n v="1707"/>
    <n v="55"/>
    <n v="871"/>
    <n v="46"/>
    <x v="1"/>
    <s v="Male"/>
    <n v="3"/>
    <s v="Yes"/>
    <x v="0"/>
    <s v="No"/>
    <s v="No"/>
    <m/>
  </r>
  <r>
    <n v="459"/>
    <s v="iPhone 12"/>
    <s v="iOS"/>
    <n v="56"/>
    <n v="1"/>
    <n v="547"/>
    <n v="10"/>
    <n v="142"/>
    <n v="58"/>
    <x v="1"/>
    <s v="Female"/>
    <n v="1"/>
    <s v="No"/>
    <x v="2"/>
    <s v="No"/>
    <s v="No"/>
    <m/>
  </r>
  <r>
    <n v="460"/>
    <s v="OnePlus 9"/>
    <s v="Android"/>
    <n v="174"/>
    <n v="2.4"/>
    <n v="639"/>
    <n v="37"/>
    <n v="545"/>
    <n v="50"/>
    <x v="1"/>
    <s v="Male"/>
    <n v="2"/>
    <s v="Yes"/>
    <x v="1"/>
    <s v="No"/>
    <s v="No"/>
    <m/>
  </r>
  <r>
    <n v="461"/>
    <s v="Samsung Galaxy S21"/>
    <s v="Android"/>
    <n v="523"/>
    <n v="9"/>
    <n v="2696"/>
    <n v="91"/>
    <n v="1561"/>
    <n v="20"/>
    <x v="2"/>
    <s v="Female"/>
    <n v="5"/>
    <s v="Yes"/>
    <x v="0"/>
    <s v="Yes"/>
    <s v="Yes"/>
    <m/>
  </r>
  <r>
    <n v="462"/>
    <s v="Samsung Galaxy S21"/>
    <s v="Android"/>
    <n v="123"/>
    <n v="3.3"/>
    <n v="938"/>
    <n v="36"/>
    <n v="438"/>
    <n v="55"/>
    <x v="1"/>
    <s v="Male"/>
    <n v="2"/>
    <s v="Yes"/>
    <x v="1"/>
    <s v="No"/>
    <s v="No"/>
    <m/>
  </r>
  <r>
    <n v="463"/>
    <s v="Samsung Galaxy S21"/>
    <s v="Android"/>
    <n v="216"/>
    <n v="5.9"/>
    <n v="1789"/>
    <n v="54"/>
    <n v="987"/>
    <n v="55"/>
    <x v="1"/>
    <s v="Male"/>
    <n v="3"/>
    <s v="Yes"/>
    <x v="0"/>
    <s v="No"/>
    <s v="No"/>
    <m/>
  </r>
  <r>
    <n v="464"/>
    <s v="iPhone 12"/>
    <s v="iOS"/>
    <n v="290"/>
    <n v="4.5999999999999996"/>
    <n v="1694"/>
    <n v="50"/>
    <n v="809"/>
    <n v="23"/>
    <x v="2"/>
    <s v="Male"/>
    <n v="3"/>
    <s v="Yes"/>
    <x v="0"/>
    <s v="No"/>
    <s v="No"/>
    <m/>
  </r>
  <r>
    <n v="465"/>
    <s v="Xiaomi Mi 11"/>
    <s v="Android"/>
    <n v="68"/>
    <n v="1.3"/>
    <n v="583"/>
    <n v="10"/>
    <n v="281"/>
    <n v="26"/>
    <x v="0"/>
    <s v="Female"/>
    <n v="1"/>
    <s v="Yes"/>
    <x v="1"/>
    <s v="No"/>
    <s v="No"/>
    <m/>
  </r>
  <r>
    <n v="466"/>
    <s v="OnePlus 9"/>
    <s v="Android"/>
    <n v="265"/>
    <n v="4.8"/>
    <n v="1770"/>
    <n v="51"/>
    <n v="723"/>
    <n v="55"/>
    <x v="1"/>
    <s v="Female"/>
    <n v="3"/>
    <s v="Yes"/>
    <x v="0"/>
    <s v="No"/>
    <s v="No"/>
    <m/>
  </r>
  <r>
    <n v="467"/>
    <s v="Samsung Galaxy S21"/>
    <s v="Android"/>
    <n v="414"/>
    <n v="7.3"/>
    <n v="2349"/>
    <n v="75"/>
    <n v="1092"/>
    <n v="51"/>
    <x v="1"/>
    <s v="Male"/>
    <n v="4"/>
    <s v="Yes"/>
    <x v="0"/>
    <s v="No"/>
    <s v="Yes"/>
    <m/>
  </r>
  <r>
    <n v="468"/>
    <s v="Google Pixel 5"/>
    <s v="Android"/>
    <n v="238"/>
    <n v="4"/>
    <n v="1414"/>
    <n v="47"/>
    <n v="661"/>
    <n v="41"/>
    <x v="1"/>
    <s v="Female"/>
    <n v="3"/>
    <s v="Yes"/>
    <x v="0"/>
    <s v="No"/>
    <s v="No"/>
    <m/>
  </r>
  <r>
    <n v="469"/>
    <s v="Xiaomi Mi 11"/>
    <s v="Android"/>
    <n v="429"/>
    <n v="7.5"/>
    <n v="1921"/>
    <n v="61"/>
    <n v="1102"/>
    <n v="46"/>
    <x v="1"/>
    <s v="Male"/>
    <n v="4"/>
    <s v="Yes"/>
    <x v="0"/>
    <s v="No"/>
    <s v="No"/>
    <m/>
  </r>
  <r>
    <n v="470"/>
    <s v="Xiaomi Mi 11"/>
    <s v="Android"/>
    <n v="39"/>
    <n v="1.9"/>
    <n v="541"/>
    <n v="16"/>
    <n v="294"/>
    <n v="37"/>
    <x v="0"/>
    <s v="Male"/>
    <n v="1"/>
    <s v="No"/>
    <x v="2"/>
    <s v="No"/>
    <s v="No"/>
    <m/>
  </r>
  <r>
    <n v="471"/>
    <s v="Samsung Galaxy S21"/>
    <s v="Android"/>
    <n v="248"/>
    <n v="4.5999999999999996"/>
    <n v="1396"/>
    <n v="52"/>
    <n v="883"/>
    <n v="40"/>
    <x v="0"/>
    <s v="Male"/>
    <n v="3"/>
    <s v="Yes"/>
    <x v="0"/>
    <s v="No"/>
    <s v="No"/>
    <m/>
  </r>
  <r>
    <n v="472"/>
    <s v="Xiaomi Mi 11"/>
    <s v="Android"/>
    <n v="541"/>
    <n v="9.4"/>
    <n v="2452"/>
    <n v="93"/>
    <n v="1811"/>
    <n v="53"/>
    <x v="1"/>
    <s v="Female"/>
    <n v="5"/>
    <s v="Yes"/>
    <x v="0"/>
    <s v="Yes"/>
    <s v="Yes"/>
    <m/>
  </r>
  <r>
    <n v="473"/>
    <s v="Xiaomi Mi 11"/>
    <s v="Android"/>
    <n v="139"/>
    <n v="3"/>
    <n v="697"/>
    <n v="37"/>
    <n v="513"/>
    <n v="26"/>
    <x v="0"/>
    <s v="Female"/>
    <n v="2"/>
    <s v="Yes"/>
    <x v="1"/>
    <s v="No"/>
    <s v="No"/>
    <m/>
  </r>
  <r>
    <n v="474"/>
    <s v="iPhone 12"/>
    <s v="iOS"/>
    <n v="289"/>
    <n v="5"/>
    <n v="1625"/>
    <n v="45"/>
    <n v="687"/>
    <n v="29"/>
    <x v="0"/>
    <s v="Male"/>
    <n v="3"/>
    <s v="Yes"/>
    <x v="0"/>
    <s v="No"/>
    <s v="No"/>
    <m/>
  </r>
  <r>
    <n v="475"/>
    <s v="Xiaomi Mi 11"/>
    <s v="Android"/>
    <n v="210"/>
    <n v="4.9000000000000004"/>
    <n v="1657"/>
    <n v="55"/>
    <n v="765"/>
    <n v="49"/>
    <x v="1"/>
    <s v="Female"/>
    <n v="3"/>
    <s v="Yes"/>
    <x v="0"/>
    <s v="No"/>
    <s v="No"/>
    <m/>
  </r>
  <r>
    <n v="476"/>
    <s v="Samsung Galaxy S21"/>
    <s v="Android"/>
    <n v="412"/>
    <n v="6.2"/>
    <n v="2201"/>
    <n v="68"/>
    <n v="1085"/>
    <n v="54"/>
    <x v="1"/>
    <s v="Female"/>
    <n v="4"/>
    <s v="Yes"/>
    <x v="0"/>
    <s v="No"/>
    <s v="No"/>
    <m/>
  </r>
  <r>
    <n v="477"/>
    <s v="Google Pixel 5"/>
    <s v="Android"/>
    <n v="318"/>
    <n v="6.6"/>
    <n v="2089"/>
    <n v="77"/>
    <n v="1126"/>
    <n v="49"/>
    <x v="1"/>
    <s v="Female"/>
    <n v="4"/>
    <s v="Yes"/>
    <x v="0"/>
    <s v="No"/>
    <s v="No"/>
    <m/>
  </r>
  <r>
    <n v="478"/>
    <s v="iPhone 12"/>
    <s v="iOS"/>
    <n v="258"/>
    <n v="4.2"/>
    <n v="1315"/>
    <n v="44"/>
    <n v="762"/>
    <n v="59"/>
    <x v="1"/>
    <s v="Female"/>
    <n v="3"/>
    <s v="Yes"/>
    <x v="0"/>
    <s v="No"/>
    <s v="No"/>
    <m/>
  </r>
  <r>
    <n v="479"/>
    <s v="OnePlus 9"/>
    <s v="Android"/>
    <n v="258"/>
    <n v="4.3"/>
    <n v="1759"/>
    <n v="59"/>
    <n v="718"/>
    <n v="41"/>
    <x v="1"/>
    <s v="Female"/>
    <n v="3"/>
    <s v="Yes"/>
    <x v="0"/>
    <s v="No"/>
    <s v="No"/>
    <m/>
  </r>
  <r>
    <n v="480"/>
    <s v="Samsung Galaxy S21"/>
    <s v="Android"/>
    <n v="189"/>
    <n v="4.8"/>
    <n v="1681"/>
    <n v="59"/>
    <n v="795"/>
    <n v="57"/>
    <x v="1"/>
    <s v="Male"/>
    <n v="3"/>
    <s v="Yes"/>
    <x v="0"/>
    <s v="No"/>
    <s v="No"/>
    <m/>
  </r>
  <r>
    <n v="481"/>
    <s v="iPhone 12"/>
    <s v="iOS"/>
    <n v="155"/>
    <n v="2.4"/>
    <n v="954"/>
    <n v="39"/>
    <n v="441"/>
    <n v="51"/>
    <x v="1"/>
    <s v="Male"/>
    <n v="2"/>
    <s v="Yes"/>
    <x v="1"/>
    <s v="No"/>
    <s v="No"/>
    <m/>
  </r>
  <r>
    <n v="482"/>
    <s v="Samsung Galaxy S21"/>
    <s v="Android"/>
    <n v="528"/>
    <n v="10.4"/>
    <n v="2717"/>
    <n v="87"/>
    <n v="2140"/>
    <n v="34"/>
    <x v="0"/>
    <s v="Male"/>
    <n v="5"/>
    <s v="Yes"/>
    <x v="0"/>
    <s v="Yes"/>
    <s v="Yes"/>
    <m/>
  </r>
  <r>
    <n v="483"/>
    <s v="iPhone 12"/>
    <s v="iOS"/>
    <n v="549"/>
    <n v="11.1"/>
    <n v="2851"/>
    <n v="87"/>
    <n v="1814"/>
    <n v="56"/>
    <x v="1"/>
    <s v="Male"/>
    <n v="5"/>
    <s v="Yes"/>
    <x v="0"/>
    <s v="Yes"/>
    <s v="Yes"/>
    <m/>
  </r>
  <r>
    <n v="484"/>
    <s v="Xiaomi Mi 11"/>
    <s v="Android"/>
    <n v="78"/>
    <n v="1.6"/>
    <n v="470"/>
    <n v="18"/>
    <n v="230"/>
    <n v="49"/>
    <x v="1"/>
    <s v="Female"/>
    <n v="1"/>
    <s v="Yes"/>
    <x v="1"/>
    <s v="No"/>
    <s v="No"/>
    <m/>
  </r>
  <r>
    <n v="485"/>
    <s v="iPhone 12"/>
    <s v="iOS"/>
    <n v="444"/>
    <n v="6"/>
    <n v="1873"/>
    <n v="61"/>
    <n v="1093"/>
    <n v="39"/>
    <x v="0"/>
    <s v="Female"/>
    <n v="4"/>
    <s v="Yes"/>
    <x v="0"/>
    <s v="No"/>
    <s v="No"/>
    <m/>
  </r>
  <r>
    <n v="486"/>
    <s v="Xiaomi Mi 11"/>
    <s v="Android"/>
    <n v="80"/>
    <n v="1.1000000000000001"/>
    <n v="417"/>
    <n v="18"/>
    <n v="298"/>
    <n v="36"/>
    <x v="0"/>
    <s v="Male"/>
    <n v="1"/>
    <s v="Yes"/>
    <x v="1"/>
    <s v="No"/>
    <s v="No"/>
    <m/>
  </r>
  <r>
    <n v="487"/>
    <s v="iPhone 12"/>
    <s v="iOS"/>
    <n v="131"/>
    <n v="3.8"/>
    <n v="739"/>
    <n v="34"/>
    <n v="330"/>
    <n v="57"/>
    <x v="1"/>
    <s v="Female"/>
    <n v="2"/>
    <s v="Yes"/>
    <x v="1"/>
    <s v="No"/>
    <s v="No"/>
    <m/>
  </r>
  <r>
    <n v="488"/>
    <s v="iPhone 12"/>
    <s v="iOS"/>
    <n v="228"/>
    <n v="4.4000000000000004"/>
    <n v="1734"/>
    <n v="46"/>
    <n v="804"/>
    <n v="57"/>
    <x v="1"/>
    <s v="Female"/>
    <n v="3"/>
    <s v="Yes"/>
    <x v="0"/>
    <s v="No"/>
    <s v="No"/>
    <m/>
  </r>
  <r>
    <n v="489"/>
    <s v="Xiaomi Mi 11"/>
    <s v="Android"/>
    <n v="416"/>
    <n v="7.3"/>
    <n v="1882"/>
    <n v="62"/>
    <n v="1333"/>
    <n v="32"/>
    <x v="0"/>
    <s v="Female"/>
    <n v="4"/>
    <s v="Yes"/>
    <x v="0"/>
    <s v="No"/>
    <s v="No"/>
    <m/>
  </r>
  <r>
    <n v="490"/>
    <s v="Google Pixel 5"/>
    <s v="Android"/>
    <n v="586"/>
    <n v="9.3000000000000007"/>
    <n v="2403"/>
    <n v="94"/>
    <n v="2332"/>
    <n v="21"/>
    <x v="2"/>
    <s v="Male"/>
    <n v="5"/>
    <s v="Yes"/>
    <x v="0"/>
    <s v="Yes"/>
    <s v="Yes"/>
    <m/>
  </r>
  <r>
    <n v="491"/>
    <s v="Google Pixel 5"/>
    <s v="Android"/>
    <n v="416"/>
    <n v="6.1"/>
    <n v="2279"/>
    <n v="71"/>
    <n v="1096"/>
    <n v="47"/>
    <x v="1"/>
    <s v="Male"/>
    <n v="4"/>
    <s v="Yes"/>
    <x v="0"/>
    <s v="No"/>
    <s v="Yes"/>
    <m/>
  </r>
  <r>
    <n v="492"/>
    <s v="iPhone 12"/>
    <s v="iOS"/>
    <n v="152"/>
    <n v="3.7"/>
    <n v="948"/>
    <n v="22"/>
    <n v="507"/>
    <n v="53"/>
    <x v="1"/>
    <s v="Female"/>
    <n v="2"/>
    <s v="Yes"/>
    <x v="1"/>
    <s v="No"/>
    <s v="No"/>
    <m/>
  </r>
  <r>
    <n v="493"/>
    <s v="Xiaomi Mi 11"/>
    <s v="Android"/>
    <n v="87"/>
    <n v="1.5"/>
    <n v="594"/>
    <n v="19"/>
    <n v="198"/>
    <n v="36"/>
    <x v="0"/>
    <s v="Female"/>
    <n v="1"/>
    <s v="Yes"/>
    <x v="1"/>
    <s v="No"/>
    <s v="No"/>
    <m/>
  </r>
  <r>
    <n v="494"/>
    <s v="OnePlus 9"/>
    <s v="Android"/>
    <n v="329"/>
    <n v="6.8"/>
    <n v="1892"/>
    <n v="69"/>
    <n v="1383"/>
    <n v="23"/>
    <x v="2"/>
    <s v="Male"/>
    <n v="4"/>
    <s v="Yes"/>
    <x v="0"/>
    <s v="Yes"/>
    <s v="No"/>
    <m/>
  </r>
  <r>
    <n v="495"/>
    <s v="Samsung Galaxy S21"/>
    <s v="Android"/>
    <n v="107"/>
    <n v="2.5"/>
    <n v="1176"/>
    <n v="24"/>
    <n v="545"/>
    <n v="29"/>
    <x v="0"/>
    <s v="Female"/>
    <n v="2"/>
    <s v="Yes"/>
    <x v="1"/>
    <s v="No"/>
    <s v="No"/>
    <m/>
  </r>
  <r>
    <n v="496"/>
    <s v="Google Pixel 5"/>
    <s v="Android"/>
    <n v="493"/>
    <n v="10.9"/>
    <n v="2928"/>
    <n v="88"/>
    <n v="2116"/>
    <n v="57"/>
    <x v="1"/>
    <s v="Male"/>
    <n v="5"/>
    <s v="Yes"/>
    <x v="0"/>
    <s v="Yes"/>
    <s v="Yes"/>
    <m/>
  </r>
  <r>
    <n v="497"/>
    <s v="iPhone 12"/>
    <s v="iOS"/>
    <n v="182"/>
    <n v="4.8"/>
    <n v="1500"/>
    <n v="51"/>
    <n v="807"/>
    <n v="43"/>
    <x v="1"/>
    <s v="Female"/>
    <n v="3"/>
    <s v="Yes"/>
    <x v="0"/>
    <s v="No"/>
    <s v="No"/>
    <m/>
  </r>
  <r>
    <n v="498"/>
    <s v="iPhone 12"/>
    <s v="iOS"/>
    <n v="102"/>
    <n v="2.9"/>
    <n v="918"/>
    <n v="37"/>
    <n v="362"/>
    <n v="20"/>
    <x v="2"/>
    <s v="Female"/>
    <n v="2"/>
    <s v="Yes"/>
    <x v="1"/>
    <s v="No"/>
    <s v="No"/>
    <m/>
  </r>
  <r>
    <n v="499"/>
    <s v="Google Pixel 5"/>
    <s v="Android"/>
    <n v="274"/>
    <n v="4.5"/>
    <n v="1356"/>
    <n v="54"/>
    <n v="869"/>
    <n v="53"/>
    <x v="1"/>
    <s v="Male"/>
    <n v="3"/>
    <s v="Yes"/>
    <x v="0"/>
    <s v="No"/>
    <s v="No"/>
    <m/>
  </r>
  <r>
    <n v="500"/>
    <s v="iPhone 12"/>
    <s v="iOS"/>
    <n v="143"/>
    <n v="3.6"/>
    <n v="988"/>
    <n v="26"/>
    <n v="504"/>
    <n v="45"/>
    <x v="1"/>
    <s v="Female"/>
    <n v="2"/>
    <s v="Yes"/>
    <x v="1"/>
    <s v="No"/>
    <s v="No"/>
    <m/>
  </r>
  <r>
    <n v="501"/>
    <s v="Google Pixel 5"/>
    <s v="Android"/>
    <n v="66"/>
    <n v="1.3"/>
    <n v="369"/>
    <n v="14"/>
    <n v="195"/>
    <n v="32"/>
    <x v="0"/>
    <s v="Male"/>
    <n v="1"/>
    <s v="Yes"/>
    <x v="1"/>
    <s v="No"/>
    <s v="No"/>
    <m/>
  </r>
  <r>
    <n v="502"/>
    <s v="Xiaomi Mi 11"/>
    <s v="Android"/>
    <n v="420"/>
    <n v="7.7"/>
    <n v="2017"/>
    <n v="74"/>
    <n v="1187"/>
    <n v="24"/>
    <x v="2"/>
    <s v="Female"/>
    <n v="4"/>
    <s v="Yes"/>
    <x v="0"/>
    <s v="No"/>
    <s v="No"/>
    <m/>
  </r>
  <r>
    <n v="503"/>
    <s v="Xiaomi Mi 11"/>
    <s v="Android"/>
    <n v="582"/>
    <n v="8.4"/>
    <n v="2664"/>
    <n v="91"/>
    <n v="2493"/>
    <n v="55"/>
    <x v="1"/>
    <s v="Female"/>
    <n v="5"/>
    <s v="Yes"/>
    <x v="0"/>
    <s v="Yes"/>
    <s v="Yes"/>
    <m/>
  </r>
  <r>
    <n v="504"/>
    <s v="Google Pixel 5"/>
    <s v="Android"/>
    <n v="200"/>
    <n v="5.8"/>
    <n v="1291"/>
    <n v="50"/>
    <n v="965"/>
    <n v="52"/>
    <x v="1"/>
    <s v="Male"/>
    <n v="3"/>
    <s v="Yes"/>
    <x v="0"/>
    <s v="No"/>
    <s v="No"/>
    <m/>
  </r>
  <r>
    <n v="505"/>
    <s v="Google Pixel 5"/>
    <s v="Android"/>
    <n v="493"/>
    <n v="8.5"/>
    <n v="2859"/>
    <n v="99"/>
    <n v="2450"/>
    <n v="47"/>
    <x v="1"/>
    <s v="Male"/>
    <n v="5"/>
    <s v="Yes"/>
    <x v="0"/>
    <s v="Yes"/>
    <s v="Yes"/>
    <m/>
  </r>
  <r>
    <n v="506"/>
    <s v="Samsung Galaxy S21"/>
    <s v="Android"/>
    <n v="348"/>
    <n v="6.6"/>
    <n v="2398"/>
    <n v="66"/>
    <n v="1415"/>
    <n v="49"/>
    <x v="1"/>
    <s v="Female"/>
    <n v="4"/>
    <s v="Yes"/>
    <x v="0"/>
    <s v="Yes"/>
    <s v="Yes"/>
    <m/>
  </r>
  <r>
    <n v="507"/>
    <s v="Xiaomi Mi 11"/>
    <s v="Android"/>
    <n v="238"/>
    <n v="5.0999999999999996"/>
    <n v="1408"/>
    <n v="45"/>
    <n v="941"/>
    <n v="27"/>
    <x v="0"/>
    <s v="Male"/>
    <n v="3"/>
    <s v="Yes"/>
    <x v="0"/>
    <s v="No"/>
    <s v="No"/>
    <m/>
  </r>
  <r>
    <n v="508"/>
    <s v="Xiaomi Mi 11"/>
    <s v="Android"/>
    <n v="33"/>
    <n v="2"/>
    <n v="318"/>
    <n v="11"/>
    <n v="173"/>
    <n v="42"/>
    <x v="1"/>
    <s v="Female"/>
    <n v="1"/>
    <s v="No"/>
    <x v="2"/>
    <s v="No"/>
    <s v="No"/>
    <m/>
  </r>
  <r>
    <n v="509"/>
    <s v="Google Pixel 5"/>
    <s v="Android"/>
    <n v="267"/>
    <n v="5.9"/>
    <n v="1740"/>
    <n v="45"/>
    <n v="791"/>
    <n v="22"/>
    <x v="2"/>
    <s v="Male"/>
    <n v="3"/>
    <s v="Yes"/>
    <x v="0"/>
    <s v="No"/>
    <s v="No"/>
    <m/>
  </r>
  <r>
    <n v="510"/>
    <s v="iPhone 12"/>
    <s v="iOS"/>
    <n v="492"/>
    <n v="10"/>
    <n v="2513"/>
    <n v="90"/>
    <n v="1968"/>
    <n v="31"/>
    <x v="0"/>
    <s v="Male"/>
    <n v="5"/>
    <s v="Yes"/>
    <x v="0"/>
    <s v="Yes"/>
    <s v="Yes"/>
    <m/>
  </r>
  <r>
    <n v="511"/>
    <s v="Google Pixel 5"/>
    <s v="Android"/>
    <n v="241"/>
    <n v="5.3"/>
    <n v="1767"/>
    <n v="58"/>
    <n v="976"/>
    <n v="38"/>
    <x v="0"/>
    <s v="Female"/>
    <n v="3"/>
    <s v="Yes"/>
    <x v="0"/>
    <s v="No"/>
    <s v="No"/>
    <m/>
  </r>
  <r>
    <n v="512"/>
    <s v="Samsung Galaxy S21"/>
    <s v="Android"/>
    <n v="567"/>
    <n v="10.8"/>
    <n v="2911"/>
    <n v="89"/>
    <n v="1682"/>
    <n v="39"/>
    <x v="0"/>
    <s v="Male"/>
    <n v="5"/>
    <s v="Yes"/>
    <x v="0"/>
    <s v="Yes"/>
    <s v="Yes"/>
    <m/>
  </r>
  <r>
    <n v="513"/>
    <s v="Samsung Galaxy S21"/>
    <s v="Android"/>
    <n v="36"/>
    <n v="1.6"/>
    <n v="442"/>
    <n v="17"/>
    <n v="249"/>
    <n v="34"/>
    <x v="0"/>
    <s v="Male"/>
    <n v="1"/>
    <s v="No"/>
    <x v="2"/>
    <s v="No"/>
    <s v="No"/>
    <m/>
  </r>
  <r>
    <n v="514"/>
    <s v="OnePlus 9"/>
    <s v="Android"/>
    <n v="110"/>
    <n v="3.4"/>
    <n v="975"/>
    <n v="31"/>
    <n v="507"/>
    <n v="57"/>
    <x v="1"/>
    <s v="Female"/>
    <n v="2"/>
    <s v="Yes"/>
    <x v="1"/>
    <s v="No"/>
    <s v="No"/>
    <m/>
  </r>
  <r>
    <n v="515"/>
    <s v="Samsung Galaxy S21"/>
    <s v="Android"/>
    <n v="466"/>
    <n v="7.1"/>
    <n v="1984"/>
    <n v="73"/>
    <n v="1461"/>
    <n v="54"/>
    <x v="1"/>
    <s v="Male"/>
    <n v="4"/>
    <s v="Yes"/>
    <x v="0"/>
    <s v="Yes"/>
    <s v="No"/>
    <m/>
  </r>
  <r>
    <n v="516"/>
    <s v="OnePlus 9"/>
    <s v="Android"/>
    <n v="126"/>
    <n v="2.2000000000000002"/>
    <n v="1187"/>
    <n v="28"/>
    <n v="599"/>
    <n v="25"/>
    <x v="0"/>
    <s v="Male"/>
    <n v="2"/>
    <s v="Yes"/>
    <x v="1"/>
    <s v="No"/>
    <s v="No"/>
    <m/>
  </r>
  <r>
    <n v="517"/>
    <s v="Xiaomi Mi 11"/>
    <s v="Android"/>
    <n v="120"/>
    <n v="3.8"/>
    <n v="940"/>
    <n v="36"/>
    <n v="535"/>
    <n v="44"/>
    <x v="1"/>
    <s v="Male"/>
    <n v="2"/>
    <s v="Yes"/>
    <x v="1"/>
    <s v="No"/>
    <s v="No"/>
    <m/>
  </r>
  <r>
    <n v="518"/>
    <s v="iPhone 12"/>
    <s v="iOS"/>
    <n v="64"/>
    <n v="1.2"/>
    <n v="592"/>
    <n v="19"/>
    <n v="218"/>
    <n v="25"/>
    <x v="0"/>
    <s v="Male"/>
    <n v="1"/>
    <s v="Yes"/>
    <x v="1"/>
    <s v="No"/>
    <s v="No"/>
    <m/>
  </r>
  <r>
    <n v="519"/>
    <s v="OnePlus 9"/>
    <s v="Android"/>
    <n v="574"/>
    <n v="8.5"/>
    <n v="2780"/>
    <n v="87"/>
    <n v="1809"/>
    <n v="34"/>
    <x v="0"/>
    <s v="Female"/>
    <n v="5"/>
    <s v="Yes"/>
    <x v="0"/>
    <s v="Yes"/>
    <s v="Yes"/>
    <m/>
  </r>
  <r>
    <n v="520"/>
    <s v="OnePlus 9"/>
    <s v="Android"/>
    <n v="119"/>
    <n v="2.2000000000000002"/>
    <n v="1123"/>
    <n v="22"/>
    <n v="371"/>
    <n v="51"/>
    <x v="1"/>
    <s v="Male"/>
    <n v="2"/>
    <s v="Yes"/>
    <x v="1"/>
    <s v="No"/>
    <s v="No"/>
    <m/>
  </r>
  <r>
    <n v="521"/>
    <s v="OnePlus 9"/>
    <s v="Android"/>
    <n v="350"/>
    <n v="6.5"/>
    <n v="2364"/>
    <n v="75"/>
    <n v="1485"/>
    <n v="20"/>
    <x v="2"/>
    <s v="Male"/>
    <n v="4"/>
    <s v="Yes"/>
    <x v="0"/>
    <s v="Yes"/>
    <s v="Yes"/>
    <m/>
  </r>
  <r>
    <n v="522"/>
    <s v="Google Pixel 5"/>
    <s v="Android"/>
    <n v="69"/>
    <n v="1.1000000000000001"/>
    <n v="535"/>
    <n v="17"/>
    <n v="250"/>
    <n v="25"/>
    <x v="0"/>
    <s v="Male"/>
    <n v="1"/>
    <s v="Yes"/>
    <x v="1"/>
    <s v="No"/>
    <s v="No"/>
    <m/>
  </r>
  <r>
    <n v="523"/>
    <s v="Xiaomi Mi 11"/>
    <s v="Android"/>
    <n v="438"/>
    <n v="6.5"/>
    <n v="1849"/>
    <n v="64"/>
    <n v="1125"/>
    <n v="49"/>
    <x v="1"/>
    <s v="Female"/>
    <n v="4"/>
    <s v="Yes"/>
    <x v="0"/>
    <s v="No"/>
    <s v="No"/>
    <m/>
  </r>
  <r>
    <n v="524"/>
    <s v="Samsung Galaxy S21"/>
    <s v="Android"/>
    <n v="506"/>
    <n v="11.2"/>
    <n v="2623"/>
    <n v="98"/>
    <n v="2460"/>
    <n v="48"/>
    <x v="1"/>
    <s v="Male"/>
    <n v="5"/>
    <s v="Yes"/>
    <x v="0"/>
    <s v="Yes"/>
    <s v="Yes"/>
    <m/>
  </r>
  <r>
    <n v="525"/>
    <s v="Samsung Galaxy S21"/>
    <s v="Android"/>
    <n v="272"/>
    <n v="5.2"/>
    <n v="1390"/>
    <n v="45"/>
    <n v="792"/>
    <n v="57"/>
    <x v="1"/>
    <s v="Female"/>
    <n v="3"/>
    <s v="Yes"/>
    <x v="0"/>
    <s v="No"/>
    <s v="No"/>
    <m/>
  </r>
  <r>
    <n v="526"/>
    <s v="Samsung Galaxy S21"/>
    <s v="Android"/>
    <n v="224"/>
    <n v="4.5"/>
    <n v="1646"/>
    <n v="57"/>
    <n v="665"/>
    <n v="59"/>
    <x v="1"/>
    <s v="Male"/>
    <n v="3"/>
    <s v="Yes"/>
    <x v="0"/>
    <s v="No"/>
    <s v="No"/>
    <m/>
  </r>
  <r>
    <n v="527"/>
    <s v="Google Pixel 5"/>
    <s v="Android"/>
    <n v="99"/>
    <n v="2.4"/>
    <n v="689"/>
    <n v="36"/>
    <n v="318"/>
    <n v="29"/>
    <x v="0"/>
    <s v="Female"/>
    <n v="2"/>
    <s v="Yes"/>
    <x v="1"/>
    <s v="No"/>
    <s v="No"/>
    <m/>
  </r>
  <r>
    <n v="528"/>
    <s v="iPhone 12"/>
    <s v="iOS"/>
    <n v="44"/>
    <n v="1.2"/>
    <n v="466"/>
    <n v="10"/>
    <n v="131"/>
    <n v="57"/>
    <x v="1"/>
    <s v="Female"/>
    <n v="1"/>
    <s v="No"/>
    <x v="2"/>
    <s v="No"/>
    <s v="No"/>
    <m/>
  </r>
  <r>
    <n v="529"/>
    <s v="Google Pixel 5"/>
    <s v="Android"/>
    <n v="175"/>
    <n v="3"/>
    <n v="801"/>
    <n v="32"/>
    <n v="338"/>
    <n v="24"/>
    <x v="2"/>
    <s v="Male"/>
    <n v="2"/>
    <s v="Yes"/>
    <x v="1"/>
    <s v="No"/>
    <s v="No"/>
    <m/>
  </r>
  <r>
    <n v="530"/>
    <s v="Google Pixel 5"/>
    <s v="Android"/>
    <n v="228"/>
    <n v="4.8"/>
    <n v="1639"/>
    <n v="47"/>
    <n v="796"/>
    <n v="42"/>
    <x v="1"/>
    <s v="Female"/>
    <n v="3"/>
    <s v="Yes"/>
    <x v="0"/>
    <s v="No"/>
    <s v="No"/>
    <m/>
  </r>
  <r>
    <n v="531"/>
    <s v="Xiaomi Mi 11"/>
    <s v="Android"/>
    <n v="589"/>
    <n v="11.8"/>
    <n v="2629"/>
    <n v="86"/>
    <n v="2479"/>
    <n v="43"/>
    <x v="1"/>
    <s v="Female"/>
    <n v="5"/>
    <s v="Yes"/>
    <x v="0"/>
    <s v="Yes"/>
    <s v="Yes"/>
    <m/>
  </r>
  <r>
    <n v="532"/>
    <s v="OnePlus 9"/>
    <s v="Android"/>
    <n v="339"/>
    <n v="7.9"/>
    <n v="1987"/>
    <n v="66"/>
    <n v="1191"/>
    <n v="47"/>
    <x v="1"/>
    <s v="Male"/>
    <n v="4"/>
    <s v="Yes"/>
    <x v="0"/>
    <s v="No"/>
    <s v="No"/>
    <m/>
  </r>
  <r>
    <n v="533"/>
    <s v="iPhone 12"/>
    <s v="iOS"/>
    <n v="431"/>
    <n v="6.4"/>
    <n v="2206"/>
    <n v="66"/>
    <n v="1200"/>
    <n v="23"/>
    <x v="2"/>
    <s v="Female"/>
    <n v="4"/>
    <s v="Yes"/>
    <x v="0"/>
    <s v="No"/>
    <s v="No"/>
    <m/>
  </r>
  <r>
    <n v="534"/>
    <s v="Xiaomi Mi 11"/>
    <s v="Android"/>
    <n v="190"/>
    <n v="4.7"/>
    <n v="1276"/>
    <n v="57"/>
    <n v="915"/>
    <n v="22"/>
    <x v="2"/>
    <s v="Female"/>
    <n v="3"/>
    <s v="Yes"/>
    <x v="0"/>
    <s v="No"/>
    <s v="No"/>
    <m/>
  </r>
  <r>
    <n v="535"/>
    <s v="OnePlus 9"/>
    <s v="Android"/>
    <n v="389"/>
    <n v="6.1"/>
    <n v="2087"/>
    <n v="67"/>
    <n v="1383"/>
    <n v="30"/>
    <x v="0"/>
    <s v="Male"/>
    <n v="4"/>
    <s v="Yes"/>
    <x v="0"/>
    <s v="Yes"/>
    <s v="No"/>
    <m/>
  </r>
  <r>
    <n v="536"/>
    <s v="Samsung Galaxy S21"/>
    <s v="Android"/>
    <n v="139"/>
    <n v="3.3"/>
    <n v="937"/>
    <n v="24"/>
    <n v="573"/>
    <n v="25"/>
    <x v="0"/>
    <s v="Female"/>
    <n v="2"/>
    <s v="Yes"/>
    <x v="1"/>
    <s v="No"/>
    <s v="No"/>
    <m/>
  </r>
  <r>
    <n v="537"/>
    <s v="Samsung Galaxy S21"/>
    <s v="Android"/>
    <n v="289"/>
    <n v="5.9"/>
    <n v="1528"/>
    <n v="48"/>
    <n v="915"/>
    <n v="30"/>
    <x v="0"/>
    <s v="Male"/>
    <n v="3"/>
    <s v="Yes"/>
    <x v="0"/>
    <s v="No"/>
    <s v="No"/>
    <m/>
  </r>
  <r>
    <n v="538"/>
    <s v="Samsung Galaxy S21"/>
    <s v="Android"/>
    <n v="593"/>
    <n v="11.1"/>
    <n v="2672"/>
    <n v="82"/>
    <n v="2258"/>
    <n v="34"/>
    <x v="0"/>
    <s v="Female"/>
    <n v="5"/>
    <s v="Yes"/>
    <x v="0"/>
    <s v="Yes"/>
    <s v="Yes"/>
    <m/>
  </r>
  <r>
    <n v="539"/>
    <s v="Google Pixel 5"/>
    <s v="Android"/>
    <n v="576"/>
    <n v="9.5"/>
    <n v="2638"/>
    <n v="98"/>
    <n v="2281"/>
    <n v="38"/>
    <x v="0"/>
    <s v="Female"/>
    <n v="5"/>
    <s v="Yes"/>
    <x v="0"/>
    <s v="Yes"/>
    <s v="Yes"/>
    <m/>
  </r>
  <r>
    <n v="540"/>
    <s v="OnePlus 9"/>
    <s v="Android"/>
    <n v="592"/>
    <n v="9.4"/>
    <n v="2867"/>
    <n v="95"/>
    <n v="1701"/>
    <n v="27"/>
    <x v="0"/>
    <s v="Female"/>
    <n v="5"/>
    <s v="Yes"/>
    <x v="0"/>
    <s v="Yes"/>
    <s v="Yes"/>
    <m/>
  </r>
  <r>
    <n v="541"/>
    <s v="iPhone 12"/>
    <s v="iOS"/>
    <n v="567"/>
    <n v="10.5"/>
    <n v="2817"/>
    <n v="89"/>
    <n v="2194"/>
    <n v="52"/>
    <x v="1"/>
    <s v="Male"/>
    <n v="5"/>
    <s v="Yes"/>
    <x v="0"/>
    <s v="Yes"/>
    <s v="Yes"/>
    <m/>
  </r>
  <r>
    <n v="542"/>
    <s v="iPhone 12"/>
    <s v="iOS"/>
    <n v="170"/>
    <n v="2.5"/>
    <n v="740"/>
    <n v="21"/>
    <n v="537"/>
    <n v="25"/>
    <x v="0"/>
    <s v="Female"/>
    <n v="2"/>
    <s v="Yes"/>
    <x v="1"/>
    <s v="No"/>
    <s v="No"/>
    <m/>
  </r>
  <r>
    <n v="543"/>
    <s v="Google Pixel 5"/>
    <s v="Android"/>
    <n v="242"/>
    <n v="5.4"/>
    <n v="1307"/>
    <n v="48"/>
    <n v="642"/>
    <n v="28"/>
    <x v="0"/>
    <s v="Male"/>
    <n v="3"/>
    <s v="Yes"/>
    <x v="0"/>
    <s v="No"/>
    <s v="No"/>
    <m/>
  </r>
  <r>
    <n v="544"/>
    <s v="Samsung Galaxy S21"/>
    <s v="Android"/>
    <n v="275"/>
    <n v="5.5"/>
    <n v="1616"/>
    <n v="48"/>
    <n v="656"/>
    <n v="55"/>
    <x v="1"/>
    <s v="Male"/>
    <n v="3"/>
    <s v="Yes"/>
    <x v="0"/>
    <s v="No"/>
    <s v="No"/>
    <m/>
  </r>
  <r>
    <n v="545"/>
    <s v="Google Pixel 5"/>
    <s v="Android"/>
    <n v="544"/>
    <n v="9.6999999999999993"/>
    <n v="2633"/>
    <n v="97"/>
    <n v="1727"/>
    <n v="28"/>
    <x v="0"/>
    <s v="Female"/>
    <n v="5"/>
    <s v="Yes"/>
    <x v="0"/>
    <s v="Yes"/>
    <s v="Yes"/>
    <m/>
  </r>
  <r>
    <n v="546"/>
    <s v="OnePlus 9"/>
    <s v="Android"/>
    <n v="50"/>
    <n v="2"/>
    <n v="362"/>
    <n v="17"/>
    <n v="182"/>
    <n v="34"/>
    <x v="0"/>
    <s v="Female"/>
    <n v="1"/>
    <s v="No"/>
    <x v="2"/>
    <s v="No"/>
    <s v="No"/>
    <m/>
  </r>
  <r>
    <n v="547"/>
    <s v="OnePlus 9"/>
    <s v="Android"/>
    <n v="236"/>
    <n v="4.5999999999999996"/>
    <n v="1750"/>
    <n v="45"/>
    <n v="971"/>
    <n v="21"/>
    <x v="2"/>
    <s v="Female"/>
    <n v="3"/>
    <s v="Yes"/>
    <x v="0"/>
    <s v="No"/>
    <s v="No"/>
    <m/>
  </r>
  <r>
    <n v="548"/>
    <s v="iPhone 12"/>
    <s v="iOS"/>
    <n v="139"/>
    <n v="2.6"/>
    <n v="658"/>
    <n v="33"/>
    <n v="358"/>
    <n v="58"/>
    <x v="1"/>
    <s v="Female"/>
    <n v="2"/>
    <s v="Yes"/>
    <x v="1"/>
    <s v="No"/>
    <s v="No"/>
    <m/>
  </r>
  <r>
    <n v="549"/>
    <s v="Google Pixel 5"/>
    <s v="Android"/>
    <n v="383"/>
    <n v="6.6"/>
    <n v="2155"/>
    <n v="74"/>
    <n v="1360"/>
    <n v="45"/>
    <x v="1"/>
    <s v="Male"/>
    <n v="4"/>
    <s v="Yes"/>
    <x v="0"/>
    <s v="Yes"/>
    <s v="No"/>
    <m/>
  </r>
  <r>
    <n v="550"/>
    <s v="Samsung Galaxy S21"/>
    <s v="Android"/>
    <n v="172"/>
    <n v="4"/>
    <n v="1047"/>
    <n v="32"/>
    <n v="508"/>
    <n v="21"/>
    <x v="2"/>
    <s v="Female"/>
    <n v="2"/>
    <s v="Yes"/>
    <x v="1"/>
    <s v="No"/>
    <s v="No"/>
    <m/>
  </r>
  <r>
    <n v="551"/>
    <s v="Xiaomi Mi 11"/>
    <s v="Android"/>
    <n v="455"/>
    <n v="6.2"/>
    <n v="1984"/>
    <n v="72"/>
    <n v="1287"/>
    <n v="42"/>
    <x v="1"/>
    <s v="Male"/>
    <n v="4"/>
    <s v="Yes"/>
    <x v="0"/>
    <s v="No"/>
    <s v="No"/>
    <m/>
  </r>
  <r>
    <n v="552"/>
    <s v="Samsung Galaxy S21"/>
    <s v="Android"/>
    <n v="157"/>
    <n v="2.5"/>
    <n v="1110"/>
    <n v="30"/>
    <n v="373"/>
    <n v="37"/>
    <x v="0"/>
    <s v="Female"/>
    <n v="2"/>
    <s v="Yes"/>
    <x v="1"/>
    <s v="No"/>
    <s v="No"/>
    <m/>
  </r>
  <r>
    <n v="553"/>
    <s v="iPhone 12"/>
    <s v="iOS"/>
    <n v="173"/>
    <n v="3.8"/>
    <n v="605"/>
    <n v="23"/>
    <n v="583"/>
    <n v="32"/>
    <x v="0"/>
    <s v="Male"/>
    <n v="2"/>
    <s v="Yes"/>
    <x v="1"/>
    <s v="No"/>
    <s v="No"/>
    <m/>
  </r>
  <r>
    <n v="554"/>
    <s v="Samsung Galaxy S21"/>
    <s v="Android"/>
    <n v="405"/>
    <n v="7.3"/>
    <n v="2082"/>
    <n v="75"/>
    <n v="1162"/>
    <n v="37"/>
    <x v="0"/>
    <s v="Female"/>
    <n v="4"/>
    <s v="Yes"/>
    <x v="0"/>
    <s v="No"/>
    <s v="No"/>
    <m/>
  </r>
  <r>
    <n v="555"/>
    <s v="iPhone 12"/>
    <s v="iOS"/>
    <n v="387"/>
    <n v="6.6"/>
    <n v="2168"/>
    <n v="61"/>
    <n v="1246"/>
    <n v="19"/>
    <x v="2"/>
    <s v="Female"/>
    <n v="4"/>
    <s v="Yes"/>
    <x v="0"/>
    <s v="No"/>
    <s v="No"/>
    <m/>
  </r>
  <r>
    <n v="556"/>
    <s v="Xiaomi Mi 11"/>
    <s v="Android"/>
    <n v="201"/>
    <n v="4.9000000000000004"/>
    <n v="1633"/>
    <n v="41"/>
    <n v="972"/>
    <n v="32"/>
    <x v="0"/>
    <s v="Female"/>
    <n v="3"/>
    <s v="Yes"/>
    <x v="0"/>
    <s v="No"/>
    <s v="No"/>
    <m/>
  </r>
  <r>
    <n v="557"/>
    <s v="iPhone 12"/>
    <s v="iOS"/>
    <n v="142"/>
    <n v="3.5"/>
    <n v="625"/>
    <n v="25"/>
    <n v="370"/>
    <n v="40"/>
    <x v="0"/>
    <s v="Female"/>
    <n v="2"/>
    <s v="Yes"/>
    <x v="1"/>
    <s v="No"/>
    <s v="No"/>
    <m/>
  </r>
  <r>
    <n v="558"/>
    <s v="Samsung Galaxy S21"/>
    <s v="Android"/>
    <n v="198"/>
    <n v="4.2"/>
    <n v="1392"/>
    <n v="43"/>
    <n v="640"/>
    <n v="27"/>
    <x v="0"/>
    <s v="Male"/>
    <n v="3"/>
    <s v="Yes"/>
    <x v="0"/>
    <s v="No"/>
    <s v="No"/>
    <m/>
  </r>
  <r>
    <n v="559"/>
    <s v="Google Pixel 5"/>
    <s v="Android"/>
    <n v="361"/>
    <n v="7.6"/>
    <n v="2037"/>
    <n v="65"/>
    <n v="1056"/>
    <n v="55"/>
    <x v="1"/>
    <s v="Male"/>
    <n v="4"/>
    <s v="Yes"/>
    <x v="0"/>
    <s v="No"/>
    <s v="No"/>
    <m/>
  </r>
  <r>
    <n v="560"/>
    <s v="OnePlus 9"/>
    <s v="Android"/>
    <n v="553"/>
    <n v="11.6"/>
    <n v="2914"/>
    <n v="81"/>
    <n v="1860"/>
    <n v="47"/>
    <x v="1"/>
    <s v="Male"/>
    <n v="5"/>
    <s v="Yes"/>
    <x v="0"/>
    <s v="Yes"/>
    <s v="Yes"/>
    <m/>
  </r>
  <r>
    <n v="561"/>
    <s v="Samsung Galaxy S21"/>
    <s v="Android"/>
    <n v="408"/>
    <n v="6.2"/>
    <n v="2245"/>
    <n v="69"/>
    <n v="1103"/>
    <n v="38"/>
    <x v="0"/>
    <s v="Female"/>
    <n v="4"/>
    <s v="Yes"/>
    <x v="0"/>
    <s v="No"/>
    <s v="Yes"/>
    <m/>
  </r>
  <r>
    <n v="562"/>
    <s v="Xiaomi Mi 11"/>
    <s v="Android"/>
    <n v="121"/>
    <n v="2.1"/>
    <n v="1188"/>
    <n v="21"/>
    <n v="578"/>
    <n v="18"/>
    <x v="2"/>
    <s v="Male"/>
    <n v="2"/>
    <s v="Yes"/>
    <x v="1"/>
    <s v="No"/>
    <s v="No"/>
    <m/>
  </r>
  <r>
    <n v="563"/>
    <s v="Google Pixel 5"/>
    <s v="Android"/>
    <n v="71"/>
    <n v="1.4"/>
    <n v="508"/>
    <n v="15"/>
    <n v="265"/>
    <n v="33"/>
    <x v="0"/>
    <s v="Female"/>
    <n v="1"/>
    <s v="Yes"/>
    <x v="1"/>
    <s v="No"/>
    <s v="No"/>
    <m/>
  </r>
  <r>
    <n v="564"/>
    <s v="iPhone 12"/>
    <s v="iOS"/>
    <n v="46"/>
    <n v="1.6"/>
    <n v="440"/>
    <n v="10"/>
    <n v="265"/>
    <n v="31"/>
    <x v="0"/>
    <s v="Male"/>
    <n v="1"/>
    <s v="No"/>
    <x v="2"/>
    <s v="No"/>
    <s v="No"/>
    <m/>
  </r>
  <r>
    <n v="565"/>
    <s v="Xiaomi Mi 11"/>
    <s v="Android"/>
    <n v="290"/>
    <n v="4.4000000000000004"/>
    <n v="1272"/>
    <n v="55"/>
    <n v="910"/>
    <n v="44"/>
    <x v="1"/>
    <s v="Male"/>
    <n v="3"/>
    <s v="Yes"/>
    <x v="0"/>
    <s v="No"/>
    <s v="No"/>
    <m/>
  </r>
  <r>
    <n v="566"/>
    <s v="Samsung Galaxy S21"/>
    <s v="Android"/>
    <n v="60"/>
    <n v="1.3"/>
    <n v="462"/>
    <n v="15"/>
    <n v="296"/>
    <n v="40"/>
    <x v="0"/>
    <s v="Male"/>
    <n v="1"/>
    <s v="Yes"/>
    <x v="1"/>
    <s v="No"/>
    <s v="No"/>
    <m/>
  </r>
  <r>
    <n v="567"/>
    <s v="Google Pixel 5"/>
    <s v="Android"/>
    <n v="116"/>
    <n v="3.9"/>
    <n v="1132"/>
    <n v="26"/>
    <n v="498"/>
    <n v="35"/>
    <x v="0"/>
    <s v="Female"/>
    <n v="2"/>
    <s v="Yes"/>
    <x v="1"/>
    <s v="No"/>
    <s v="No"/>
    <m/>
  </r>
  <r>
    <n v="568"/>
    <s v="OnePlus 9"/>
    <s v="Android"/>
    <n v="86"/>
    <n v="1.7"/>
    <n v="312"/>
    <n v="16"/>
    <n v="227"/>
    <n v="32"/>
    <x v="0"/>
    <s v="Male"/>
    <n v="1"/>
    <s v="Yes"/>
    <x v="1"/>
    <s v="No"/>
    <s v="No"/>
    <m/>
  </r>
  <r>
    <n v="569"/>
    <s v="Google Pixel 5"/>
    <s v="Android"/>
    <n v="291"/>
    <n v="5.3"/>
    <n v="1537"/>
    <n v="43"/>
    <n v="700"/>
    <n v="49"/>
    <x v="1"/>
    <s v="Female"/>
    <n v="3"/>
    <s v="Yes"/>
    <x v="0"/>
    <s v="No"/>
    <s v="No"/>
    <m/>
  </r>
  <r>
    <n v="570"/>
    <s v="Google Pixel 5"/>
    <s v="Android"/>
    <n v="404"/>
    <n v="6.6"/>
    <n v="2181"/>
    <n v="77"/>
    <n v="1327"/>
    <n v="18"/>
    <x v="2"/>
    <s v="Male"/>
    <n v="4"/>
    <s v="Yes"/>
    <x v="0"/>
    <s v="No"/>
    <s v="No"/>
    <m/>
  </r>
  <r>
    <n v="571"/>
    <s v="OnePlus 9"/>
    <s v="Android"/>
    <n v="441"/>
    <n v="7.1"/>
    <n v="1928"/>
    <n v="74"/>
    <n v="1421"/>
    <n v="57"/>
    <x v="1"/>
    <s v="Male"/>
    <n v="4"/>
    <s v="Yes"/>
    <x v="0"/>
    <s v="Yes"/>
    <s v="No"/>
    <m/>
  </r>
  <r>
    <n v="572"/>
    <s v="Google Pixel 5"/>
    <s v="Android"/>
    <n v="444"/>
    <n v="6.1"/>
    <n v="2229"/>
    <n v="73"/>
    <n v="1194"/>
    <n v="25"/>
    <x v="0"/>
    <s v="Female"/>
    <n v="4"/>
    <s v="Yes"/>
    <x v="0"/>
    <s v="No"/>
    <s v="Yes"/>
    <m/>
  </r>
  <r>
    <n v="573"/>
    <s v="OnePlus 9"/>
    <s v="Android"/>
    <n v="211"/>
    <n v="5.9"/>
    <n v="1757"/>
    <n v="42"/>
    <n v="864"/>
    <n v="56"/>
    <x v="1"/>
    <s v="Female"/>
    <n v="3"/>
    <s v="Yes"/>
    <x v="0"/>
    <s v="No"/>
    <s v="No"/>
    <m/>
  </r>
  <r>
    <n v="574"/>
    <s v="Samsung Galaxy S21"/>
    <s v="Android"/>
    <n v="537"/>
    <n v="9.1"/>
    <n v="2858"/>
    <n v="86"/>
    <n v="2158"/>
    <n v="22"/>
    <x v="2"/>
    <s v="Male"/>
    <n v="5"/>
    <s v="Yes"/>
    <x v="0"/>
    <s v="Yes"/>
    <s v="Yes"/>
    <m/>
  </r>
  <r>
    <n v="575"/>
    <s v="Xiaomi Mi 11"/>
    <s v="Android"/>
    <n v="519"/>
    <n v="10.9"/>
    <n v="2571"/>
    <n v="93"/>
    <n v="2163"/>
    <n v="47"/>
    <x v="1"/>
    <s v="Female"/>
    <n v="5"/>
    <s v="Yes"/>
    <x v="0"/>
    <s v="Yes"/>
    <s v="Yes"/>
    <m/>
  </r>
  <r>
    <n v="576"/>
    <s v="Samsung Galaxy S21"/>
    <s v="Android"/>
    <n v="94"/>
    <n v="3.5"/>
    <n v="606"/>
    <n v="30"/>
    <n v="446"/>
    <n v="49"/>
    <x v="1"/>
    <s v="Male"/>
    <n v="2"/>
    <s v="Yes"/>
    <x v="1"/>
    <s v="No"/>
    <s v="No"/>
    <m/>
  </r>
  <r>
    <n v="577"/>
    <s v="Google Pixel 5"/>
    <s v="Android"/>
    <n v="554"/>
    <n v="10.3"/>
    <n v="2776"/>
    <n v="83"/>
    <n v="1606"/>
    <n v="34"/>
    <x v="0"/>
    <s v="Female"/>
    <n v="5"/>
    <s v="Yes"/>
    <x v="0"/>
    <s v="Yes"/>
    <s v="Yes"/>
    <m/>
  </r>
  <r>
    <n v="578"/>
    <s v="iPhone 12"/>
    <s v="iOS"/>
    <n v="381"/>
    <n v="7.5"/>
    <n v="2216"/>
    <n v="66"/>
    <n v="1291"/>
    <n v="37"/>
    <x v="0"/>
    <s v="Female"/>
    <n v="4"/>
    <s v="Yes"/>
    <x v="0"/>
    <s v="No"/>
    <s v="No"/>
    <m/>
  </r>
  <r>
    <n v="579"/>
    <s v="OnePlus 9"/>
    <s v="Android"/>
    <n v="257"/>
    <n v="6"/>
    <n v="1715"/>
    <n v="49"/>
    <n v="916"/>
    <n v="40"/>
    <x v="0"/>
    <s v="Female"/>
    <n v="3"/>
    <s v="Yes"/>
    <x v="0"/>
    <s v="No"/>
    <s v="No"/>
    <m/>
  </r>
  <r>
    <n v="580"/>
    <s v="Samsung Galaxy S21"/>
    <s v="Android"/>
    <n v="47"/>
    <n v="1.1000000000000001"/>
    <n v="532"/>
    <n v="18"/>
    <n v="122"/>
    <n v="36"/>
    <x v="0"/>
    <s v="Male"/>
    <n v="1"/>
    <s v="No"/>
    <x v="2"/>
    <s v="No"/>
    <s v="No"/>
    <m/>
  </r>
  <r>
    <n v="581"/>
    <s v="iPhone 12"/>
    <s v="iOS"/>
    <n v="527"/>
    <n v="10"/>
    <n v="2430"/>
    <n v="82"/>
    <n v="1737"/>
    <n v="27"/>
    <x v="0"/>
    <s v="Female"/>
    <n v="5"/>
    <s v="Yes"/>
    <x v="0"/>
    <s v="Yes"/>
    <s v="Yes"/>
    <m/>
  </r>
  <r>
    <n v="582"/>
    <s v="Samsung Galaxy S21"/>
    <s v="Android"/>
    <n v="148"/>
    <n v="2.7"/>
    <n v="625"/>
    <n v="34"/>
    <n v="416"/>
    <n v="27"/>
    <x v="0"/>
    <s v="Male"/>
    <n v="2"/>
    <s v="Yes"/>
    <x v="1"/>
    <s v="No"/>
    <s v="No"/>
    <m/>
  </r>
  <r>
    <n v="583"/>
    <s v="iPhone 12"/>
    <s v="iOS"/>
    <n v="191"/>
    <n v="5.7"/>
    <n v="1414"/>
    <n v="53"/>
    <n v="991"/>
    <n v="19"/>
    <x v="2"/>
    <s v="Female"/>
    <n v="3"/>
    <s v="Yes"/>
    <x v="0"/>
    <s v="No"/>
    <s v="No"/>
    <m/>
  </r>
  <r>
    <n v="584"/>
    <s v="Google Pixel 5"/>
    <s v="Android"/>
    <n v="71"/>
    <n v="1.9"/>
    <n v="571"/>
    <n v="10"/>
    <n v="117"/>
    <n v="43"/>
    <x v="1"/>
    <s v="Female"/>
    <n v="1"/>
    <s v="Yes"/>
    <x v="1"/>
    <s v="No"/>
    <s v="No"/>
    <m/>
  </r>
  <r>
    <n v="585"/>
    <s v="OnePlus 9"/>
    <s v="Android"/>
    <n v="73"/>
    <n v="1.3"/>
    <n v="538"/>
    <n v="19"/>
    <n v="175"/>
    <n v="30"/>
    <x v="0"/>
    <s v="Female"/>
    <n v="1"/>
    <s v="Yes"/>
    <x v="1"/>
    <s v="No"/>
    <s v="No"/>
    <m/>
  </r>
  <r>
    <n v="586"/>
    <s v="OnePlus 9"/>
    <s v="Android"/>
    <n v="149"/>
    <n v="3.1"/>
    <n v="1191"/>
    <n v="28"/>
    <n v="563"/>
    <n v="29"/>
    <x v="0"/>
    <s v="Male"/>
    <n v="2"/>
    <s v="Yes"/>
    <x v="1"/>
    <s v="No"/>
    <s v="No"/>
    <m/>
  </r>
  <r>
    <n v="587"/>
    <s v="Xiaomi Mi 11"/>
    <s v="Android"/>
    <n v="197"/>
    <n v="4.4000000000000004"/>
    <n v="1665"/>
    <n v="44"/>
    <n v="608"/>
    <n v="43"/>
    <x v="1"/>
    <s v="Female"/>
    <n v="3"/>
    <s v="Yes"/>
    <x v="0"/>
    <s v="No"/>
    <s v="No"/>
    <m/>
  </r>
  <r>
    <n v="588"/>
    <s v="Samsung Galaxy S21"/>
    <s v="Android"/>
    <n v="328"/>
    <n v="6.1"/>
    <n v="1975"/>
    <n v="72"/>
    <n v="1101"/>
    <n v="24"/>
    <x v="2"/>
    <s v="Male"/>
    <n v="4"/>
    <s v="Yes"/>
    <x v="0"/>
    <s v="No"/>
    <s v="No"/>
    <m/>
  </r>
  <r>
    <n v="589"/>
    <s v="OnePlus 9"/>
    <s v="Android"/>
    <n v="424"/>
    <n v="7.5"/>
    <n v="1995"/>
    <n v="75"/>
    <n v="1228"/>
    <n v="36"/>
    <x v="0"/>
    <s v="Male"/>
    <n v="4"/>
    <s v="Yes"/>
    <x v="0"/>
    <s v="No"/>
    <s v="No"/>
    <m/>
  </r>
  <r>
    <n v="590"/>
    <s v="Samsung Galaxy S21"/>
    <s v="Android"/>
    <n v="111"/>
    <n v="3.6"/>
    <n v="627"/>
    <n v="26"/>
    <n v="464"/>
    <n v="39"/>
    <x v="0"/>
    <s v="Female"/>
    <n v="2"/>
    <s v="Yes"/>
    <x v="1"/>
    <s v="No"/>
    <s v="No"/>
    <m/>
  </r>
  <r>
    <n v="591"/>
    <s v="Samsung Galaxy S21"/>
    <s v="Android"/>
    <n v="159"/>
    <n v="3.7"/>
    <n v="630"/>
    <n v="33"/>
    <n v="575"/>
    <n v="30"/>
    <x v="0"/>
    <s v="Male"/>
    <n v="2"/>
    <s v="Yes"/>
    <x v="1"/>
    <s v="No"/>
    <s v="No"/>
    <m/>
  </r>
  <r>
    <n v="592"/>
    <s v="Google Pixel 5"/>
    <s v="Android"/>
    <n v="580"/>
    <n v="11.5"/>
    <n v="2767"/>
    <n v="84"/>
    <n v="2341"/>
    <n v="36"/>
    <x v="0"/>
    <s v="Female"/>
    <n v="5"/>
    <s v="Yes"/>
    <x v="0"/>
    <s v="Yes"/>
    <s v="Yes"/>
    <m/>
  </r>
  <r>
    <n v="593"/>
    <s v="Samsung Galaxy S21"/>
    <s v="Android"/>
    <n v="379"/>
    <n v="7.7"/>
    <n v="1809"/>
    <n v="64"/>
    <n v="1050"/>
    <n v="22"/>
    <x v="2"/>
    <s v="Female"/>
    <n v="4"/>
    <s v="Yes"/>
    <x v="0"/>
    <s v="No"/>
    <s v="No"/>
    <m/>
  </r>
  <r>
    <n v="594"/>
    <s v="Samsung Galaxy S21"/>
    <s v="Android"/>
    <n v="217"/>
    <n v="4.2"/>
    <n v="1500"/>
    <n v="42"/>
    <n v="677"/>
    <n v="26"/>
    <x v="0"/>
    <s v="Female"/>
    <n v="3"/>
    <s v="Yes"/>
    <x v="0"/>
    <s v="No"/>
    <s v="No"/>
    <m/>
  </r>
  <r>
    <n v="595"/>
    <s v="Xiaomi Mi 11"/>
    <s v="Android"/>
    <n v="447"/>
    <n v="6.3"/>
    <n v="1959"/>
    <n v="63"/>
    <n v="1441"/>
    <n v="48"/>
    <x v="1"/>
    <s v="Male"/>
    <n v="4"/>
    <s v="Yes"/>
    <x v="0"/>
    <s v="Yes"/>
    <s v="No"/>
    <m/>
  </r>
  <r>
    <n v="596"/>
    <s v="OnePlus 9"/>
    <s v="Android"/>
    <n v="512"/>
    <n v="10.5"/>
    <n v="2538"/>
    <n v="82"/>
    <n v="1694"/>
    <n v="41"/>
    <x v="1"/>
    <s v="Male"/>
    <n v="5"/>
    <s v="Yes"/>
    <x v="0"/>
    <s v="Yes"/>
    <s v="Yes"/>
    <m/>
  </r>
  <r>
    <n v="597"/>
    <s v="Xiaomi Mi 11"/>
    <s v="Android"/>
    <n v="511"/>
    <n v="10.8"/>
    <n v="2529"/>
    <n v="91"/>
    <n v="2387"/>
    <n v="21"/>
    <x v="2"/>
    <s v="Male"/>
    <n v="5"/>
    <s v="Yes"/>
    <x v="0"/>
    <s v="Yes"/>
    <s v="Yes"/>
    <m/>
  </r>
  <r>
    <n v="598"/>
    <s v="OnePlus 9"/>
    <s v="Android"/>
    <n v="140"/>
    <n v="2.5"/>
    <n v="825"/>
    <n v="31"/>
    <n v="347"/>
    <n v="59"/>
    <x v="1"/>
    <s v="Male"/>
    <n v="2"/>
    <s v="Yes"/>
    <x v="1"/>
    <s v="No"/>
    <s v="No"/>
    <m/>
  </r>
  <r>
    <n v="599"/>
    <s v="Samsung Galaxy S21"/>
    <s v="Android"/>
    <n v="114"/>
    <n v="3"/>
    <n v="1131"/>
    <n v="31"/>
    <n v="596"/>
    <n v="28"/>
    <x v="0"/>
    <s v="Male"/>
    <n v="2"/>
    <s v="Yes"/>
    <x v="1"/>
    <s v="No"/>
    <s v="No"/>
    <m/>
  </r>
  <r>
    <n v="600"/>
    <s v="Samsung Galaxy S21"/>
    <s v="Android"/>
    <n v="192"/>
    <n v="4.3"/>
    <n v="1382"/>
    <n v="42"/>
    <n v="905"/>
    <n v="47"/>
    <x v="1"/>
    <s v="Female"/>
    <n v="3"/>
    <s v="Yes"/>
    <x v="0"/>
    <s v="No"/>
    <s v="No"/>
    <m/>
  </r>
  <r>
    <n v="601"/>
    <s v="iPhone 12"/>
    <s v="iOS"/>
    <n v="325"/>
    <n v="6"/>
    <n v="2244"/>
    <n v="70"/>
    <n v="1296"/>
    <n v="30"/>
    <x v="0"/>
    <s v="Female"/>
    <n v="4"/>
    <s v="Yes"/>
    <x v="0"/>
    <s v="No"/>
    <s v="Yes"/>
    <m/>
  </r>
  <r>
    <n v="602"/>
    <s v="OnePlus 9"/>
    <s v="Android"/>
    <n v="83"/>
    <n v="1.2"/>
    <n v="545"/>
    <n v="15"/>
    <n v="284"/>
    <n v="44"/>
    <x v="1"/>
    <s v="Male"/>
    <n v="1"/>
    <s v="Yes"/>
    <x v="1"/>
    <s v="No"/>
    <s v="No"/>
    <m/>
  </r>
  <r>
    <n v="603"/>
    <s v="OnePlus 9"/>
    <s v="Android"/>
    <n v="122"/>
    <n v="3"/>
    <n v="922"/>
    <n v="32"/>
    <n v="373"/>
    <n v="43"/>
    <x v="1"/>
    <s v="Male"/>
    <n v="2"/>
    <s v="Yes"/>
    <x v="1"/>
    <s v="No"/>
    <s v="No"/>
    <m/>
  </r>
  <r>
    <n v="604"/>
    <s v="OnePlus 9"/>
    <s v="Android"/>
    <n v="138"/>
    <n v="2.1"/>
    <n v="660"/>
    <n v="22"/>
    <n v="424"/>
    <n v="41"/>
    <x v="1"/>
    <s v="Female"/>
    <n v="2"/>
    <s v="Yes"/>
    <x v="1"/>
    <s v="No"/>
    <s v="No"/>
    <m/>
  </r>
  <r>
    <n v="605"/>
    <s v="OnePlus 9"/>
    <s v="Android"/>
    <n v="182"/>
    <n v="5.3"/>
    <n v="1278"/>
    <n v="42"/>
    <n v="885"/>
    <n v="54"/>
    <x v="1"/>
    <s v="Female"/>
    <n v="3"/>
    <s v="Yes"/>
    <x v="0"/>
    <s v="No"/>
    <s v="No"/>
    <m/>
  </r>
  <r>
    <n v="606"/>
    <s v="OnePlus 9"/>
    <s v="Android"/>
    <n v="425"/>
    <n v="6"/>
    <n v="1928"/>
    <n v="72"/>
    <n v="1150"/>
    <n v="53"/>
    <x v="1"/>
    <s v="Female"/>
    <n v="4"/>
    <s v="Yes"/>
    <x v="0"/>
    <s v="No"/>
    <s v="No"/>
    <m/>
  </r>
  <r>
    <n v="607"/>
    <s v="OnePlus 9"/>
    <s v="Android"/>
    <n v="580"/>
    <n v="10.4"/>
    <n v="2496"/>
    <n v="81"/>
    <n v="2441"/>
    <n v="37"/>
    <x v="0"/>
    <s v="Female"/>
    <n v="5"/>
    <s v="Yes"/>
    <x v="0"/>
    <s v="Yes"/>
    <s v="Yes"/>
    <m/>
  </r>
  <r>
    <n v="608"/>
    <s v="Xiaomi Mi 11"/>
    <s v="Android"/>
    <n v="203"/>
    <n v="4"/>
    <n v="1323"/>
    <n v="56"/>
    <n v="787"/>
    <n v="21"/>
    <x v="2"/>
    <s v="Male"/>
    <n v="3"/>
    <s v="Yes"/>
    <x v="0"/>
    <s v="No"/>
    <s v="No"/>
    <m/>
  </r>
  <r>
    <n v="609"/>
    <s v="Xiaomi Mi 11"/>
    <s v="Android"/>
    <n v="258"/>
    <n v="4.9000000000000004"/>
    <n v="1596"/>
    <n v="56"/>
    <n v="937"/>
    <n v="40"/>
    <x v="0"/>
    <s v="Female"/>
    <n v="3"/>
    <s v="Yes"/>
    <x v="0"/>
    <s v="No"/>
    <s v="No"/>
    <m/>
  </r>
  <r>
    <n v="610"/>
    <s v="iPhone 12"/>
    <s v="iOS"/>
    <n v="551"/>
    <n v="8.5"/>
    <n v="2927"/>
    <n v="92"/>
    <n v="1901"/>
    <n v="51"/>
    <x v="1"/>
    <s v="Male"/>
    <n v="5"/>
    <s v="Yes"/>
    <x v="0"/>
    <s v="Yes"/>
    <s v="Yes"/>
    <m/>
  </r>
  <r>
    <n v="611"/>
    <s v="iPhone 12"/>
    <s v="iOS"/>
    <n v="507"/>
    <n v="9.6"/>
    <n v="2606"/>
    <n v="95"/>
    <n v="1543"/>
    <n v="48"/>
    <x v="1"/>
    <s v="Male"/>
    <n v="5"/>
    <s v="Yes"/>
    <x v="0"/>
    <s v="Yes"/>
    <s v="Yes"/>
    <m/>
  </r>
  <r>
    <n v="612"/>
    <s v="Xiaomi Mi 11"/>
    <s v="Android"/>
    <n v="57"/>
    <n v="1.3"/>
    <n v="489"/>
    <n v="16"/>
    <n v="131"/>
    <n v="37"/>
    <x v="0"/>
    <s v="Male"/>
    <n v="1"/>
    <s v="No"/>
    <x v="2"/>
    <s v="No"/>
    <s v="No"/>
    <m/>
  </r>
  <r>
    <n v="613"/>
    <s v="Xiaomi Mi 11"/>
    <s v="Android"/>
    <n v="553"/>
    <n v="10.199999999999999"/>
    <n v="2911"/>
    <n v="82"/>
    <n v="2441"/>
    <n v="44"/>
    <x v="1"/>
    <s v="Male"/>
    <n v="5"/>
    <s v="Yes"/>
    <x v="0"/>
    <s v="Yes"/>
    <s v="Yes"/>
    <m/>
  </r>
  <r>
    <n v="614"/>
    <s v="Google Pixel 5"/>
    <s v="Android"/>
    <n v="49"/>
    <n v="1.1000000000000001"/>
    <n v="395"/>
    <n v="16"/>
    <n v="153"/>
    <n v="46"/>
    <x v="1"/>
    <s v="Female"/>
    <n v="1"/>
    <s v="No"/>
    <x v="2"/>
    <s v="No"/>
    <s v="No"/>
    <m/>
  </r>
  <r>
    <n v="615"/>
    <s v="Samsung Galaxy S21"/>
    <s v="Android"/>
    <n v="106"/>
    <n v="4"/>
    <n v="1158"/>
    <n v="23"/>
    <n v="493"/>
    <n v="18"/>
    <x v="2"/>
    <s v="Male"/>
    <n v="2"/>
    <s v="Yes"/>
    <x v="1"/>
    <s v="No"/>
    <s v="No"/>
    <m/>
  </r>
  <r>
    <n v="616"/>
    <s v="Google Pixel 5"/>
    <s v="Android"/>
    <n v="119"/>
    <n v="3.7"/>
    <n v="608"/>
    <n v="36"/>
    <n v="461"/>
    <n v="52"/>
    <x v="1"/>
    <s v="Male"/>
    <n v="2"/>
    <s v="Yes"/>
    <x v="1"/>
    <s v="No"/>
    <s v="No"/>
    <m/>
  </r>
  <r>
    <n v="617"/>
    <s v="OnePlus 9"/>
    <s v="Android"/>
    <n v="288"/>
    <n v="5.4"/>
    <n v="1476"/>
    <n v="49"/>
    <n v="767"/>
    <n v="36"/>
    <x v="0"/>
    <s v="Female"/>
    <n v="3"/>
    <s v="Yes"/>
    <x v="0"/>
    <s v="No"/>
    <s v="No"/>
    <m/>
  </r>
  <r>
    <n v="618"/>
    <s v="Google Pixel 5"/>
    <s v="Android"/>
    <n v="225"/>
    <n v="5.6"/>
    <n v="1388"/>
    <n v="55"/>
    <n v="965"/>
    <n v="36"/>
    <x v="0"/>
    <s v="Female"/>
    <n v="3"/>
    <s v="Yes"/>
    <x v="0"/>
    <s v="No"/>
    <s v="No"/>
    <m/>
  </r>
  <r>
    <n v="619"/>
    <s v="OnePlus 9"/>
    <s v="Android"/>
    <n v="342"/>
    <n v="7"/>
    <n v="1826"/>
    <n v="71"/>
    <n v="1077"/>
    <n v="26"/>
    <x v="0"/>
    <s v="Female"/>
    <n v="4"/>
    <s v="Yes"/>
    <x v="0"/>
    <s v="No"/>
    <s v="No"/>
    <m/>
  </r>
  <r>
    <n v="620"/>
    <s v="Samsung Galaxy S21"/>
    <s v="Android"/>
    <n v="292"/>
    <n v="4.2"/>
    <n v="1407"/>
    <n v="54"/>
    <n v="867"/>
    <n v="59"/>
    <x v="1"/>
    <s v="Male"/>
    <n v="3"/>
    <s v="Yes"/>
    <x v="0"/>
    <s v="No"/>
    <s v="No"/>
    <m/>
  </r>
  <r>
    <n v="621"/>
    <s v="iPhone 12"/>
    <s v="iOS"/>
    <n v="218"/>
    <n v="5"/>
    <n v="1475"/>
    <n v="46"/>
    <n v="972"/>
    <n v="59"/>
    <x v="1"/>
    <s v="Female"/>
    <n v="3"/>
    <s v="Yes"/>
    <x v="0"/>
    <s v="No"/>
    <s v="No"/>
    <m/>
  </r>
  <r>
    <n v="622"/>
    <s v="Google Pixel 5"/>
    <s v="Android"/>
    <n v="64"/>
    <n v="1.8"/>
    <n v="351"/>
    <n v="15"/>
    <n v="274"/>
    <n v="56"/>
    <x v="1"/>
    <s v="Male"/>
    <n v="1"/>
    <s v="Yes"/>
    <x v="1"/>
    <s v="No"/>
    <s v="No"/>
    <m/>
  </r>
  <r>
    <n v="623"/>
    <s v="Xiaomi Mi 11"/>
    <s v="Android"/>
    <n v="453"/>
    <n v="7.4"/>
    <n v="2363"/>
    <n v="65"/>
    <n v="1046"/>
    <n v="41"/>
    <x v="1"/>
    <s v="Female"/>
    <n v="4"/>
    <s v="Yes"/>
    <x v="0"/>
    <s v="No"/>
    <s v="Yes"/>
    <m/>
  </r>
  <r>
    <n v="624"/>
    <s v="OnePlus 9"/>
    <s v="Android"/>
    <n v="42"/>
    <n v="1.8"/>
    <n v="417"/>
    <n v="15"/>
    <n v="284"/>
    <n v="21"/>
    <x v="2"/>
    <s v="Male"/>
    <n v="1"/>
    <s v="No"/>
    <x v="2"/>
    <s v="No"/>
    <s v="No"/>
    <m/>
  </r>
  <r>
    <n v="625"/>
    <s v="Samsung Galaxy S21"/>
    <s v="Android"/>
    <n v="36"/>
    <n v="1.5"/>
    <n v="310"/>
    <n v="15"/>
    <n v="272"/>
    <n v="45"/>
    <x v="1"/>
    <s v="Male"/>
    <n v="1"/>
    <s v="No"/>
    <x v="2"/>
    <s v="No"/>
    <s v="No"/>
    <m/>
  </r>
  <r>
    <n v="626"/>
    <s v="OnePlus 9"/>
    <s v="Android"/>
    <n v="55"/>
    <n v="1.8"/>
    <n v="328"/>
    <n v="12"/>
    <n v="196"/>
    <n v="31"/>
    <x v="0"/>
    <s v="Female"/>
    <n v="1"/>
    <s v="No"/>
    <x v="2"/>
    <s v="No"/>
    <s v="No"/>
    <m/>
  </r>
  <r>
    <n v="627"/>
    <s v="iPhone 12"/>
    <s v="iOS"/>
    <n v="210"/>
    <n v="5"/>
    <n v="1614"/>
    <n v="53"/>
    <n v="679"/>
    <n v="55"/>
    <x v="1"/>
    <s v="Female"/>
    <n v="3"/>
    <s v="Yes"/>
    <x v="0"/>
    <s v="No"/>
    <s v="No"/>
    <m/>
  </r>
  <r>
    <n v="628"/>
    <s v="iPhone 12"/>
    <s v="iOS"/>
    <n v="227"/>
    <n v="5.2"/>
    <n v="1446"/>
    <n v="46"/>
    <n v="920"/>
    <n v="59"/>
    <x v="1"/>
    <s v="Male"/>
    <n v="3"/>
    <s v="Yes"/>
    <x v="0"/>
    <s v="No"/>
    <s v="No"/>
    <m/>
  </r>
  <r>
    <n v="629"/>
    <s v="Xiaomi Mi 11"/>
    <s v="Android"/>
    <n v="47"/>
    <n v="1.2"/>
    <n v="437"/>
    <n v="18"/>
    <n v="234"/>
    <n v="55"/>
    <x v="1"/>
    <s v="Male"/>
    <n v="1"/>
    <s v="No"/>
    <x v="2"/>
    <s v="No"/>
    <s v="No"/>
    <m/>
  </r>
  <r>
    <n v="630"/>
    <s v="iPhone 12"/>
    <s v="iOS"/>
    <n v="461"/>
    <n v="6.3"/>
    <n v="1988"/>
    <n v="62"/>
    <n v="1004"/>
    <n v="21"/>
    <x v="2"/>
    <s v="Male"/>
    <n v="4"/>
    <s v="Yes"/>
    <x v="0"/>
    <s v="No"/>
    <s v="No"/>
    <m/>
  </r>
  <r>
    <n v="631"/>
    <s v="Google Pixel 5"/>
    <s v="Android"/>
    <n v="94"/>
    <n v="3.1"/>
    <n v="1078"/>
    <n v="38"/>
    <n v="489"/>
    <n v="25"/>
    <x v="0"/>
    <s v="Male"/>
    <n v="2"/>
    <s v="Yes"/>
    <x v="1"/>
    <s v="No"/>
    <s v="No"/>
    <m/>
  </r>
  <r>
    <n v="632"/>
    <s v="Samsung Galaxy S21"/>
    <s v="Android"/>
    <n v="216"/>
    <n v="5.0999999999999996"/>
    <n v="1483"/>
    <n v="54"/>
    <n v="977"/>
    <n v="45"/>
    <x v="1"/>
    <s v="Female"/>
    <n v="3"/>
    <s v="Yes"/>
    <x v="0"/>
    <s v="No"/>
    <s v="No"/>
    <m/>
  </r>
  <r>
    <n v="633"/>
    <s v="iPhone 12"/>
    <s v="iOS"/>
    <n v="496"/>
    <n v="10.199999999999999"/>
    <n v="2587"/>
    <n v="84"/>
    <n v="1921"/>
    <n v="56"/>
    <x v="1"/>
    <s v="Female"/>
    <n v="5"/>
    <s v="Yes"/>
    <x v="0"/>
    <s v="Yes"/>
    <s v="Yes"/>
    <m/>
  </r>
  <r>
    <n v="634"/>
    <s v="OnePlus 9"/>
    <s v="Android"/>
    <n v="138"/>
    <n v="3.2"/>
    <n v="1142"/>
    <n v="31"/>
    <n v="366"/>
    <n v="29"/>
    <x v="0"/>
    <s v="Female"/>
    <n v="2"/>
    <s v="Yes"/>
    <x v="1"/>
    <s v="No"/>
    <s v="No"/>
    <m/>
  </r>
  <r>
    <n v="635"/>
    <s v="iPhone 12"/>
    <s v="iOS"/>
    <n v="318"/>
    <n v="6.6"/>
    <n v="2055"/>
    <n v="67"/>
    <n v="1253"/>
    <n v="43"/>
    <x v="1"/>
    <s v="Male"/>
    <n v="4"/>
    <s v="Yes"/>
    <x v="0"/>
    <s v="No"/>
    <s v="No"/>
    <m/>
  </r>
  <r>
    <n v="636"/>
    <s v="Samsung Galaxy S21"/>
    <s v="Android"/>
    <n v="96"/>
    <n v="3.4"/>
    <n v="1198"/>
    <n v="39"/>
    <n v="401"/>
    <n v="48"/>
    <x v="1"/>
    <s v="Female"/>
    <n v="2"/>
    <s v="Yes"/>
    <x v="1"/>
    <s v="No"/>
    <s v="No"/>
    <m/>
  </r>
  <r>
    <n v="637"/>
    <s v="OnePlus 9"/>
    <s v="Android"/>
    <n v="510"/>
    <n v="10.7"/>
    <n v="2433"/>
    <n v="90"/>
    <n v="1729"/>
    <n v="47"/>
    <x v="1"/>
    <s v="Male"/>
    <n v="5"/>
    <s v="Yes"/>
    <x v="0"/>
    <s v="Yes"/>
    <s v="Yes"/>
    <m/>
  </r>
  <r>
    <n v="638"/>
    <s v="Xiaomi Mi 11"/>
    <s v="Android"/>
    <n v="83"/>
    <n v="1.1000000000000001"/>
    <n v="546"/>
    <n v="10"/>
    <n v="289"/>
    <n v="32"/>
    <x v="0"/>
    <s v="Female"/>
    <n v="1"/>
    <s v="Yes"/>
    <x v="1"/>
    <s v="No"/>
    <s v="No"/>
    <m/>
  </r>
  <r>
    <n v="639"/>
    <s v="Google Pixel 5"/>
    <s v="Android"/>
    <n v="417"/>
    <n v="6.2"/>
    <n v="2074"/>
    <n v="63"/>
    <n v="1135"/>
    <n v="35"/>
    <x v="0"/>
    <s v="Female"/>
    <n v="4"/>
    <s v="Yes"/>
    <x v="0"/>
    <s v="No"/>
    <s v="No"/>
    <m/>
  </r>
  <r>
    <n v="640"/>
    <s v="Google Pixel 5"/>
    <s v="Android"/>
    <n v="538"/>
    <n v="9.8000000000000007"/>
    <n v="2778"/>
    <n v="91"/>
    <n v="2080"/>
    <n v="35"/>
    <x v="0"/>
    <s v="Female"/>
    <n v="5"/>
    <s v="Yes"/>
    <x v="0"/>
    <s v="Yes"/>
    <s v="Yes"/>
    <m/>
  </r>
  <r>
    <n v="641"/>
    <s v="Samsung Galaxy S21"/>
    <s v="Android"/>
    <n v="63"/>
    <n v="1.8"/>
    <n v="321"/>
    <n v="11"/>
    <n v="271"/>
    <n v="42"/>
    <x v="1"/>
    <s v="Male"/>
    <n v="1"/>
    <s v="Yes"/>
    <x v="1"/>
    <s v="No"/>
    <s v="No"/>
    <m/>
  </r>
  <r>
    <n v="642"/>
    <s v="OnePlus 9"/>
    <s v="Android"/>
    <n v="50"/>
    <n v="1.4"/>
    <n v="443"/>
    <n v="16"/>
    <n v="255"/>
    <n v="26"/>
    <x v="0"/>
    <s v="Female"/>
    <n v="1"/>
    <s v="No"/>
    <x v="2"/>
    <s v="No"/>
    <s v="No"/>
    <m/>
  </r>
  <r>
    <n v="643"/>
    <s v="Google Pixel 5"/>
    <s v="Android"/>
    <n v="502"/>
    <n v="8.1999999999999993"/>
    <n v="2597"/>
    <n v="90"/>
    <n v="1553"/>
    <n v="27"/>
    <x v="0"/>
    <s v="Male"/>
    <n v="5"/>
    <s v="Yes"/>
    <x v="0"/>
    <s v="Yes"/>
    <s v="Yes"/>
    <m/>
  </r>
  <r>
    <n v="644"/>
    <s v="OnePlus 9"/>
    <s v="Android"/>
    <n v="105"/>
    <n v="3.3"/>
    <n v="723"/>
    <n v="35"/>
    <n v="566"/>
    <n v="46"/>
    <x v="1"/>
    <s v="Male"/>
    <n v="2"/>
    <s v="Yes"/>
    <x v="1"/>
    <s v="No"/>
    <s v="No"/>
    <m/>
  </r>
  <r>
    <n v="645"/>
    <s v="Google Pixel 5"/>
    <s v="Android"/>
    <n v="186"/>
    <n v="4.8"/>
    <n v="1494"/>
    <n v="53"/>
    <n v="949"/>
    <n v="20"/>
    <x v="2"/>
    <s v="Female"/>
    <n v="3"/>
    <s v="Yes"/>
    <x v="0"/>
    <s v="No"/>
    <s v="No"/>
    <m/>
  </r>
  <r>
    <n v="646"/>
    <s v="Xiaomi Mi 11"/>
    <s v="Android"/>
    <n v="174"/>
    <n v="2.9"/>
    <n v="1197"/>
    <n v="23"/>
    <n v="345"/>
    <n v="20"/>
    <x v="2"/>
    <s v="Female"/>
    <n v="2"/>
    <s v="Yes"/>
    <x v="1"/>
    <s v="No"/>
    <s v="No"/>
    <m/>
  </r>
  <r>
    <n v="647"/>
    <s v="Samsung Galaxy S21"/>
    <s v="Android"/>
    <n v="89"/>
    <n v="1.3"/>
    <n v="314"/>
    <n v="16"/>
    <n v="201"/>
    <n v="58"/>
    <x v="1"/>
    <s v="Female"/>
    <n v="1"/>
    <s v="Yes"/>
    <x v="1"/>
    <s v="No"/>
    <s v="No"/>
    <m/>
  </r>
  <r>
    <n v="648"/>
    <s v="iPhone 12"/>
    <s v="iOS"/>
    <n v="66"/>
    <n v="1.5"/>
    <n v="565"/>
    <n v="17"/>
    <n v="283"/>
    <n v="42"/>
    <x v="1"/>
    <s v="Female"/>
    <n v="1"/>
    <s v="Yes"/>
    <x v="1"/>
    <s v="No"/>
    <s v="No"/>
    <m/>
  </r>
  <r>
    <n v="649"/>
    <s v="iPhone 12"/>
    <s v="iOS"/>
    <n v="389"/>
    <n v="6.3"/>
    <n v="2294"/>
    <n v="76"/>
    <n v="1334"/>
    <n v="53"/>
    <x v="1"/>
    <s v="Male"/>
    <n v="4"/>
    <s v="Yes"/>
    <x v="0"/>
    <s v="No"/>
    <s v="Yes"/>
    <m/>
  </r>
  <r>
    <n v="650"/>
    <s v="Xiaomi Mi 11"/>
    <s v="Android"/>
    <n v="186"/>
    <n v="5.4"/>
    <n v="1627"/>
    <n v="58"/>
    <n v="790"/>
    <n v="31"/>
    <x v="0"/>
    <s v="Female"/>
    <n v="3"/>
    <s v="Yes"/>
    <x v="0"/>
    <s v="No"/>
    <s v="No"/>
    <m/>
  </r>
  <r>
    <n v="651"/>
    <s v="Google Pixel 5"/>
    <s v="Android"/>
    <n v="149"/>
    <n v="2"/>
    <n v="1041"/>
    <n v="39"/>
    <n v="356"/>
    <n v="49"/>
    <x v="1"/>
    <s v="Male"/>
    <n v="2"/>
    <s v="Yes"/>
    <x v="1"/>
    <s v="No"/>
    <s v="No"/>
    <m/>
  </r>
  <r>
    <n v="652"/>
    <s v="iPhone 12"/>
    <s v="iOS"/>
    <n v="69"/>
    <n v="1.7"/>
    <n v="519"/>
    <n v="10"/>
    <n v="167"/>
    <n v="51"/>
    <x v="1"/>
    <s v="Female"/>
    <n v="1"/>
    <s v="Yes"/>
    <x v="1"/>
    <s v="No"/>
    <s v="No"/>
    <m/>
  </r>
  <r>
    <n v="653"/>
    <s v="Xiaomi Mi 11"/>
    <s v="Android"/>
    <n v="206"/>
    <n v="5.2"/>
    <n v="1632"/>
    <n v="47"/>
    <n v="694"/>
    <n v="30"/>
    <x v="0"/>
    <s v="Male"/>
    <n v="3"/>
    <s v="Yes"/>
    <x v="0"/>
    <s v="No"/>
    <s v="No"/>
    <m/>
  </r>
  <r>
    <n v="654"/>
    <s v="Samsung Galaxy S21"/>
    <s v="Android"/>
    <n v="49"/>
    <n v="1.2"/>
    <n v="365"/>
    <n v="19"/>
    <n v="144"/>
    <n v="29"/>
    <x v="0"/>
    <s v="Male"/>
    <n v="1"/>
    <s v="No"/>
    <x v="2"/>
    <s v="No"/>
    <s v="No"/>
    <m/>
  </r>
  <r>
    <n v="655"/>
    <s v="Google Pixel 5"/>
    <s v="Android"/>
    <n v="594"/>
    <n v="10.5"/>
    <n v="2839"/>
    <n v="91"/>
    <n v="1647"/>
    <n v="56"/>
    <x v="1"/>
    <s v="Male"/>
    <n v="5"/>
    <s v="Yes"/>
    <x v="0"/>
    <s v="Yes"/>
    <s v="Yes"/>
    <m/>
  </r>
  <r>
    <n v="656"/>
    <s v="Google Pixel 5"/>
    <s v="Android"/>
    <n v="104"/>
    <n v="3.7"/>
    <n v="1028"/>
    <n v="29"/>
    <n v="493"/>
    <n v="39"/>
    <x v="0"/>
    <s v="Male"/>
    <n v="2"/>
    <s v="Yes"/>
    <x v="1"/>
    <s v="No"/>
    <s v="No"/>
    <m/>
  </r>
  <r>
    <n v="657"/>
    <s v="Google Pixel 5"/>
    <s v="Android"/>
    <n v="262"/>
    <n v="5.6"/>
    <n v="1489"/>
    <n v="59"/>
    <n v="628"/>
    <n v="54"/>
    <x v="1"/>
    <s v="Female"/>
    <n v="3"/>
    <s v="Yes"/>
    <x v="0"/>
    <s v="No"/>
    <s v="No"/>
    <m/>
  </r>
  <r>
    <n v="658"/>
    <s v="Xiaomi Mi 11"/>
    <s v="Android"/>
    <n v="278"/>
    <n v="5.3"/>
    <n v="1368"/>
    <n v="56"/>
    <n v="894"/>
    <n v="40"/>
    <x v="0"/>
    <s v="Female"/>
    <n v="3"/>
    <s v="Yes"/>
    <x v="0"/>
    <s v="No"/>
    <s v="No"/>
    <m/>
  </r>
  <r>
    <n v="659"/>
    <s v="Xiaomi Mi 11"/>
    <s v="Android"/>
    <n v="463"/>
    <n v="6.8"/>
    <n v="2358"/>
    <n v="68"/>
    <n v="1236"/>
    <n v="43"/>
    <x v="1"/>
    <s v="Female"/>
    <n v="4"/>
    <s v="Yes"/>
    <x v="0"/>
    <s v="No"/>
    <s v="Yes"/>
    <m/>
  </r>
  <r>
    <n v="660"/>
    <s v="Xiaomi Mi 11"/>
    <s v="Android"/>
    <n v="505"/>
    <n v="9.6"/>
    <n v="2464"/>
    <n v="91"/>
    <n v="2375"/>
    <n v="35"/>
    <x v="0"/>
    <s v="Male"/>
    <n v="5"/>
    <s v="Yes"/>
    <x v="0"/>
    <s v="Yes"/>
    <s v="Yes"/>
    <m/>
  </r>
  <r>
    <n v="661"/>
    <s v="Google Pixel 5"/>
    <s v="Android"/>
    <n v="50"/>
    <n v="1.5"/>
    <n v="387"/>
    <n v="12"/>
    <n v="146"/>
    <n v="59"/>
    <x v="1"/>
    <s v="Male"/>
    <n v="1"/>
    <s v="No"/>
    <x v="2"/>
    <s v="No"/>
    <s v="No"/>
    <m/>
  </r>
  <r>
    <n v="662"/>
    <s v="Xiaomi Mi 11"/>
    <s v="Android"/>
    <n v="138"/>
    <n v="3.1"/>
    <n v="947"/>
    <n v="29"/>
    <n v="545"/>
    <n v="48"/>
    <x v="1"/>
    <s v="Male"/>
    <n v="2"/>
    <s v="Yes"/>
    <x v="1"/>
    <s v="No"/>
    <s v="No"/>
    <m/>
  </r>
  <r>
    <n v="663"/>
    <s v="Xiaomi Mi 11"/>
    <s v="Android"/>
    <n v="130"/>
    <n v="3.2"/>
    <n v="1189"/>
    <n v="37"/>
    <n v="448"/>
    <n v="45"/>
    <x v="1"/>
    <s v="Male"/>
    <n v="2"/>
    <s v="Yes"/>
    <x v="1"/>
    <s v="No"/>
    <s v="No"/>
    <m/>
  </r>
  <r>
    <n v="664"/>
    <s v="Google Pixel 5"/>
    <s v="Android"/>
    <n v="469"/>
    <n v="6.4"/>
    <n v="1858"/>
    <n v="78"/>
    <n v="1297"/>
    <n v="55"/>
    <x v="1"/>
    <s v="Female"/>
    <n v="4"/>
    <s v="Yes"/>
    <x v="0"/>
    <s v="No"/>
    <s v="No"/>
    <m/>
  </r>
  <r>
    <n v="665"/>
    <s v="Xiaomi Mi 11"/>
    <s v="Android"/>
    <n v="555"/>
    <n v="10.3"/>
    <n v="2568"/>
    <n v="83"/>
    <n v="2003"/>
    <n v="52"/>
    <x v="1"/>
    <s v="Male"/>
    <n v="5"/>
    <s v="Yes"/>
    <x v="0"/>
    <s v="Yes"/>
    <s v="Yes"/>
    <m/>
  </r>
  <r>
    <n v="666"/>
    <s v="iPhone 12"/>
    <s v="iOS"/>
    <n v="198"/>
    <n v="5.4"/>
    <n v="1544"/>
    <n v="53"/>
    <n v="635"/>
    <n v="53"/>
    <x v="1"/>
    <s v="Male"/>
    <n v="3"/>
    <s v="Yes"/>
    <x v="0"/>
    <s v="No"/>
    <s v="No"/>
    <m/>
  </r>
  <r>
    <n v="667"/>
    <s v="Samsung Galaxy S21"/>
    <s v="Android"/>
    <n v="529"/>
    <n v="11.4"/>
    <n v="2891"/>
    <n v="82"/>
    <n v="1845"/>
    <n v="46"/>
    <x v="1"/>
    <s v="Male"/>
    <n v="5"/>
    <s v="Yes"/>
    <x v="0"/>
    <s v="Yes"/>
    <s v="Yes"/>
    <m/>
  </r>
  <r>
    <n v="668"/>
    <s v="Samsung Galaxy S21"/>
    <s v="Android"/>
    <n v="205"/>
    <n v="5.5"/>
    <n v="1699"/>
    <n v="49"/>
    <n v="729"/>
    <n v="36"/>
    <x v="0"/>
    <s v="Male"/>
    <n v="3"/>
    <s v="Yes"/>
    <x v="0"/>
    <s v="No"/>
    <s v="No"/>
    <m/>
  </r>
  <r>
    <n v="669"/>
    <s v="iPhone 12"/>
    <s v="iOS"/>
    <n v="170"/>
    <n v="2.4"/>
    <n v="1039"/>
    <n v="38"/>
    <n v="334"/>
    <n v="23"/>
    <x v="2"/>
    <s v="Male"/>
    <n v="2"/>
    <s v="Yes"/>
    <x v="1"/>
    <s v="No"/>
    <s v="No"/>
    <m/>
  </r>
  <r>
    <n v="670"/>
    <s v="Samsung Galaxy S21"/>
    <s v="Android"/>
    <n v="160"/>
    <n v="3.2"/>
    <n v="648"/>
    <n v="31"/>
    <n v="339"/>
    <n v="27"/>
    <x v="0"/>
    <s v="Female"/>
    <n v="2"/>
    <s v="Yes"/>
    <x v="1"/>
    <s v="No"/>
    <s v="No"/>
    <m/>
  </r>
  <r>
    <n v="671"/>
    <s v="iPhone 12"/>
    <s v="iOS"/>
    <n v="81"/>
    <n v="1.6"/>
    <n v="387"/>
    <n v="13"/>
    <n v="224"/>
    <n v="48"/>
    <x v="1"/>
    <s v="Male"/>
    <n v="1"/>
    <s v="Yes"/>
    <x v="1"/>
    <s v="No"/>
    <s v="No"/>
    <m/>
  </r>
  <r>
    <n v="672"/>
    <s v="Google Pixel 5"/>
    <s v="Android"/>
    <n v="468"/>
    <n v="7.3"/>
    <n v="1937"/>
    <n v="64"/>
    <n v="1209"/>
    <n v="22"/>
    <x v="2"/>
    <s v="Male"/>
    <n v="4"/>
    <s v="Yes"/>
    <x v="0"/>
    <s v="No"/>
    <s v="No"/>
    <m/>
  </r>
  <r>
    <n v="673"/>
    <s v="Xiaomi Mi 11"/>
    <s v="Android"/>
    <n v="500"/>
    <n v="11.2"/>
    <n v="2925"/>
    <n v="84"/>
    <n v="2438"/>
    <n v="27"/>
    <x v="0"/>
    <s v="Male"/>
    <n v="5"/>
    <s v="Yes"/>
    <x v="0"/>
    <s v="Yes"/>
    <s v="Yes"/>
    <m/>
  </r>
  <r>
    <n v="674"/>
    <s v="Google Pixel 5"/>
    <s v="Android"/>
    <n v="37"/>
    <n v="1.6"/>
    <n v="490"/>
    <n v="18"/>
    <n v="216"/>
    <n v="52"/>
    <x v="1"/>
    <s v="Male"/>
    <n v="1"/>
    <s v="No"/>
    <x v="2"/>
    <s v="No"/>
    <s v="No"/>
    <m/>
  </r>
  <r>
    <n v="675"/>
    <s v="Xiaomi Mi 11"/>
    <s v="Android"/>
    <n v="522"/>
    <n v="11.4"/>
    <n v="2776"/>
    <n v="93"/>
    <n v="1768"/>
    <n v="27"/>
    <x v="0"/>
    <s v="Female"/>
    <n v="5"/>
    <s v="Yes"/>
    <x v="0"/>
    <s v="Yes"/>
    <s v="Yes"/>
    <m/>
  </r>
  <r>
    <n v="676"/>
    <s v="Xiaomi Mi 11"/>
    <s v="Android"/>
    <n v="81"/>
    <n v="1.5"/>
    <n v="545"/>
    <n v="17"/>
    <n v="159"/>
    <n v="40"/>
    <x v="0"/>
    <s v="Male"/>
    <n v="1"/>
    <s v="Yes"/>
    <x v="1"/>
    <s v="No"/>
    <s v="No"/>
    <m/>
  </r>
  <r>
    <n v="677"/>
    <s v="OnePlus 9"/>
    <s v="Android"/>
    <n v="141"/>
    <n v="3.8"/>
    <n v="689"/>
    <n v="38"/>
    <n v="576"/>
    <n v="34"/>
    <x v="0"/>
    <s v="Male"/>
    <n v="2"/>
    <s v="Yes"/>
    <x v="1"/>
    <s v="No"/>
    <s v="No"/>
    <m/>
  </r>
  <r>
    <n v="678"/>
    <s v="Samsung Galaxy S21"/>
    <s v="Android"/>
    <n v="115"/>
    <n v="3.5"/>
    <n v="706"/>
    <n v="26"/>
    <n v="495"/>
    <n v="52"/>
    <x v="1"/>
    <s v="Female"/>
    <n v="2"/>
    <s v="Yes"/>
    <x v="1"/>
    <s v="No"/>
    <s v="No"/>
    <m/>
  </r>
  <r>
    <n v="679"/>
    <s v="Google Pixel 5"/>
    <s v="Android"/>
    <n v="298"/>
    <n v="4.5999999999999996"/>
    <n v="1525"/>
    <n v="59"/>
    <n v="814"/>
    <n v="36"/>
    <x v="0"/>
    <s v="Female"/>
    <n v="3"/>
    <s v="Yes"/>
    <x v="0"/>
    <s v="No"/>
    <s v="No"/>
    <m/>
  </r>
  <r>
    <n v="680"/>
    <s v="iPhone 12"/>
    <s v="iOS"/>
    <n v="33"/>
    <n v="1.8"/>
    <n v="334"/>
    <n v="16"/>
    <n v="113"/>
    <n v="36"/>
    <x v="0"/>
    <s v="Female"/>
    <n v="1"/>
    <s v="No"/>
    <x v="2"/>
    <s v="No"/>
    <s v="No"/>
    <m/>
  </r>
  <r>
    <n v="681"/>
    <s v="Google Pixel 5"/>
    <s v="Android"/>
    <n v="307"/>
    <n v="6.1"/>
    <n v="2105"/>
    <n v="76"/>
    <n v="1111"/>
    <n v="25"/>
    <x v="0"/>
    <s v="Female"/>
    <n v="4"/>
    <s v="Yes"/>
    <x v="0"/>
    <s v="No"/>
    <s v="No"/>
    <m/>
  </r>
  <r>
    <n v="682"/>
    <s v="Xiaomi Mi 11"/>
    <s v="Android"/>
    <n v="380"/>
    <n v="7.6"/>
    <n v="2354"/>
    <n v="77"/>
    <n v="1191"/>
    <n v="30"/>
    <x v="0"/>
    <s v="Male"/>
    <n v="4"/>
    <s v="Yes"/>
    <x v="0"/>
    <s v="No"/>
    <s v="Yes"/>
    <m/>
  </r>
  <r>
    <n v="683"/>
    <s v="Xiaomi Mi 11"/>
    <s v="Android"/>
    <n v="190"/>
    <n v="5.5"/>
    <n v="1718"/>
    <n v="58"/>
    <n v="815"/>
    <n v="42"/>
    <x v="1"/>
    <s v="Male"/>
    <n v="3"/>
    <s v="Yes"/>
    <x v="0"/>
    <s v="No"/>
    <s v="No"/>
    <m/>
  </r>
  <r>
    <n v="684"/>
    <s v="Samsung Galaxy S21"/>
    <s v="Android"/>
    <n v="75"/>
    <n v="1.6"/>
    <n v="325"/>
    <n v="12"/>
    <n v="225"/>
    <n v="45"/>
    <x v="1"/>
    <s v="Male"/>
    <n v="1"/>
    <s v="Yes"/>
    <x v="1"/>
    <s v="No"/>
    <s v="No"/>
    <m/>
  </r>
  <r>
    <n v="685"/>
    <s v="Google Pixel 5"/>
    <s v="Android"/>
    <n v="218"/>
    <n v="4"/>
    <n v="1221"/>
    <n v="47"/>
    <n v="822"/>
    <n v="25"/>
    <x v="0"/>
    <s v="Male"/>
    <n v="3"/>
    <s v="Yes"/>
    <x v="0"/>
    <s v="No"/>
    <s v="No"/>
    <m/>
  </r>
  <r>
    <n v="686"/>
    <s v="Xiaomi Mi 11"/>
    <s v="Android"/>
    <n v="412"/>
    <n v="6.6"/>
    <n v="1859"/>
    <n v="67"/>
    <n v="1393"/>
    <n v="18"/>
    <x v="2"/>
    <s v="Male"/>
    <n v="4"/>
    <s v="Yes"/>
    <x v="0"/>
    <s v="Yes"/>
    <s v="No"/>
    <m/>
  </r>
  <r>
    <n v="687"/>
    <s v="Google Pixel 5"/>
    <s v="Android"/>
    <n v="335"/>
    <n v="7.7"/>
    <n v="2037"/>
    <n v="68"/>
    <n v="1007"/>
    <n v="18"/>
    <x v="2"/>
    <s v="Male"/>
    <n v="4"/>
    <s v="Yes"/>
    <x v="0"/>
    <s v="No"/>
    <s v="No"/>
    <m/>
  </r>
  <r>
    <n v="688"/>
    <s v="OnePlus 9"/>
    <s v="Android"/>
    <n v="387"/>
    <n v="6.3"/>
    <n v="2098"/>
    <n v="61"/>
    <n v="1178"/>
    <n v="54"/>
    <x v="1"/>
    <s v="Male"/>
    <n v="4"/>
    <s v="Yes"/>
    <x v="0"/>
    <s v="No"/>
    <s v="No"/>
    <m/>
  </r>
  <r>
    <n v="689"/>
    <s v="Google Pixel 5"/>
    <s v="Android"/>
    <n v="261"/>
    <n v="4.9000000000000004"/>
    <n v="1589"/>
    <n v="56"/>
    <n v="824"/>
    <n v="52"/>
    <x v="1"/>
    <s v="Female"/>
    <n v="3"/>
    <s v="Yes"/>
    <x v="0"/>
    <s v="No"/>
    <s v="No"/>
    <m/>
  </r>
  <r>
    <n v="690"/>
    <s v="Samsung Galaxy S21"/>
    <s v="Android"/>
    <n v="541"/>
    <n v="9.5"/>
    <n v="2424"/>
    <n v="98"/>
    <n v="1550"/>
    <n v="32"/>
    <x v="0"/>
    <s v="Male"/>
    <n v="5"/>
    <s v="Yes"/>
    <x v="0"/>
    <s v="Yes"/>
    <s v="Yes"/>
    <m/>
  </r>
  <r>
    <n v="691"/>
    <s v="Google Pixel 5"/>
    <s v="Android"/>
    <n v="195"/>
    <n v="5.7"/>
    <n v="1447"/>
    <n v="48"/>
    <n v="679"/>
    <n v="30"/>
    <x v="0"/>
    <s v="Male"/>
    <n v="3"/>
    <s v="Yes"/>
    <x v="0"/>
    <s v="No"/>
    <s v="No"/>
    <m/>
  </r>
  <r>
    <n v="692"/>
    <s v="iPhone 12"/>
    <s v="iOS"/>
    <n v="178"/>
    <n v="4"/>
    <n v="856"/>
    <n v="37"/>
    <n v="569"/>
    <n v="51"/>
    <x v="1"/>
    <s v="Female"/>
    <n v="2"/>
    <s v="Yes"/>
    <x v="1"/>
    <s v="No"/>
    <s v="No"/>
    <m/>
  </r>
  <r>
    <n v="693"/>
    <s v="Xiaomi Mi 11"/>
    <s v="Android"/>
    <n v="378"/>
    <n v="6.7"/>
    <n v="1898"/>
    <n v="78"/>
    <n v="1455"/>
    <n v="48"/>
    <x v="1"/>
    <s v="Female"/>
    <n v="4"/>
    <s v="Yes"/>
    <x v="0"/>
    <s v="Yes"/>
    <s v="No"/>
    <m/>
  </r>
  <r>
    <n v="694"/>
    <s v="Xiaomi Mi 11"/>
    <s v="Android"/>
    <n v="505"/>
    <n v="8.6"/>
    <n v="2792"/>
    <n v="82"/>
    <n v="1709"/>
    <n v="31"/>
    <x v="0"/>
    <s v="Male"/>
    <n v="5"/>
    <s v="Yes"/>
    <x v="0"/>
    <s v="Yes"/>
    <s v="Yes"/>
    <m/>
  </r>
  <r>
    <n v="695"/>
    <s v="Samsung Galaxy S21"/>
    <s v="Android"/>
    <n v="564"/>
    <n v="9.6999999999999993"/>
    <n v="2422"/>
    <n v="83"/>
    <n v="1985"/>
    <n v="34"/>
    <x v="0"/>
    <s v="Female"/>
    <n v="5"/>
    <s v="Yes"/>
    <x v="0"/>
    <s v="Yes"/>
    <s v="Yes"/>
    <m/>
  </r>
  <r>
    <n v="696"/>
    <s v="iPhone 12"/>
    <s v="iOS"/>
    <n v="92"/>
    <n v="3.9"/>
    <n v="1082"/>
    <n v="26"/>
    <n v="381"/>
    <n v="22"/>
    <x v="2"/>
    <s v="Male"/>
    <n v="2"/>
    <s v="Yes"/>
    <x v="1"/>
    <s v="No"/>
    <s v="No"/>
    <m/>
  </r>
  <r>
    <n v="697"/>
    <s v="Xiaomi Mi 11"/>
    <s v="Android"/>
    <n v="316"/>
    <n v="6.8"/>
    <n v="1965"/>
    <n v="68"/>
    <n v="1201"/>
    <n v="59"/>
    <x v="1"/>
    <s v="Male"/>
    <n v="4"/>
    <s v="Yes"/>
    <x v="0"/>
    <s v="No"/>
    <s v="No"/>
    <m/>
  </r>
  <r>
    <n v="698"/>
    <s v="Google Pixel 5"/>
    <s v="Android"/>
    <n v="99"/>
    <n v="3.1"/>
    <n v="942"/>
    <n v="22"/>
    <n v="457"/>
    <n v="50"/>
    <x v="1"/>
    <s v="Female"/>
    <n v="2"/>
    <s v="Yes"/>
    <x v="1"/>
    <s v="No"/>
    <s v="No"/>
    <m/>
  </r>
  <r>
    <n v="699"/>
    <s v="Samsung Galaxy S21"/>
    <s v="Android"/>
    <n v="62"/>
    <n v="1.7"/>
    <n v="431"/>
    <n v="13"/>
    <n v="224"/>
    <n v="44"/>
    <x v="1"/>
    <s v="Male"/>
    <n v="1"/>
    <s v="Yes"/>
    <x v="1"/>
    <s v="No"/>
    <s v="No"/>
    <m/>
  </r>
  <r>
    <n v="700"/>
    <s v="OnePlus 9"/>
    <s v="Android"/>
    <n v="212"/>
    <n v="5.4"/>
    <n v="1306"/>
    <n v="49"/>
    <n v="828"/>
    <n v="23"/>
    <x v="2"/>
    <s v="Female"/>
    <n v="3"/>
    <s v="Yes"/>
    <x v="0"/>
    <s v="No"/>
    <s v="No"/>
    <m/>
  </r>
  <r>
    <m/>
    <m/>
    <m/>
    <m/>
    <m/>
    <m/>
    <m/>
    <m/>
    <m/>
    <x v="3"/>
    <m/>
    <m/>
    <m/>
    <x v="3"/>
    <m/>
    <m/>
    <m/>
  </r>
  <r>
    <m/>
    <m/>
    <m/>
    <m/>
    <m/>
    <m/>
    <m/>
    <m/>
    <m/>
    <x v="3"/>
    <m/>
    <m/>
    <m/>
    <x v="3"/>
    <m/>
    <m/>
    <m/>
  </r>
  <r>
    <m/>
    <m/>
    <m/>
    <m/>
    <m/>
    <m/>
    <m/>
    <m/>
    <m/>
    <x v="3"/>
    <m/>
    <m/>
    <m/>
    <x v="3"/>
    <m/>
    <m/>
    <m/>
  </r>
  <r>
    <m/>
    <m/>
    <m/>
    <m/>
    <m/>
    <m/>
    <m/>
    <m/>
    <m/>
    <x v="3"/>
    <m/>
    <m/>
    <m/>
    <x v="3"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0">
  <r>
    <n v="1"/>
    <s v="Google Pixel 5"/>
    <s v="Android"/>
    <n v="393"/>
    <n v="6.4"/>
    <n v="1872"/>
    <n v="67"/>
    <n v="1122"/>
    <n v="40"/>
    <s v="25–40"/>
    <s v="Male"/>
    <n v="4"/>
    <x v="0"/>
    <x v="0"/>
    <x v="0"/>
    <x v="0"/>
  </r>
  <r>
    <n v="2"/>
    <s v="OnePlus 9"/>
    <s v="Android"/>
    <n v="268"/>
    <n v="4.7"/>
    <n v="1331"/>
    <n v="42"/>
    <n v="944"/>
    <n v="47"/>
    <s v="40+"/>
    <s v="Female"/>
    <n v="3"/>
    <x v="0"/>
    <x v="0"/>
    <x v="0"/>
    <x v="0"/>
  </r>
  <r>
    <n v="3"/>
    <s v="Xiaomi Mi 11"/>
    <s v="Android"/>
    <n v="154"/>
    <n v="4"/>
    <n v="761"/>
    <n v="32"/>
    <n v="322"/>
    <n v="42"/>
    <s v="40+"/>
    <s v="Male"/>
    <n v="2"/>
    <x v="0"/>
    <x v="1"/>
    <x v="0"/>
    <x v="0"/>
  </r>
  <r>
    <n v="4"/>
    <s v="Google Pixel 5"/>
    <s v="Android"/>
    <n v="239"/>
    <n v="4.8"/>
    <n v="1676"/>
    <n v="56"/>
    <n v="871"/>
    <n v="20"/>
    <s v="&lt;25"/>
    <s v="Male"/>
    <n v="3"/>
    <x v="0"/>
    <x v="0"/>
    <x v="0"/>
    <x v="0"/>
  </r>
  <r>
    <n v="5"/>
    <s v="iPhone 12"/>
    <s v="iOS"/>
    <n v="187"/>
    <n v="4.3"/>
    <n v="1367"/>
    <n v="58"/>
    <n v="988"/>
    <n v="31"/>
    <s v="25–40"/>
    <s v="Female"/>
    <n v="3"/>
    <x v="0"/>
    <x v="0"/>
    <x v="0"/>
    <x v="0"/>
  </r>
  <r>
    <n v="6"/>
    <s v="Google Pixel 5"/>
    <s v="Android"/>
    <n v="99"/>
    <n v="2"/>
    <n v="940"/>
    <n v="35"/>
    <n v="564"/>
    <n v="31"/>
    <s v="25–40"/>
    <s v="Male"/>
    <n v="2"/>
    <x v="0"/>
    <x v="1"/>
    <x v="0"/>
    <x v="0"/>
  </r>
  <r>
    <n v="7"/>
    <s v="Samsung Galaxy S21"/>
    <s v="Android"/>
    <n v="350"/>
    <n v="7.3"/>
    <n v="1802"/>
    <n v="66"/>
    <n v="1054"/>
    <n v="21"/>
    <s v="&lt;25"/>
    <s v="Female"/>
    <n v="4"/>
    <x v="0"/>
    <x v="0"/>
    <x v="0"/>
    <x v="0"/>
  </r>
  <r>
    <n v="8"/>
    <s v="OnePlus 9"/>
    <s v="Android"/>
    <n v="543"/>
    <n v="11.4"/>
    <n v="2956"/>
    <n v="82"/>
    <n v="1702"/>
    <n v="31"/>
    <s v="25–40"/>
    <s v="Male"/>
    <n v="5"/>
    <x v="0"/>
    <x v="0"/>
    <x v="1"/>
    <x v="1"/>
  </r>
  <r>
    <n v="9"/>
    <s v="Samsung Galaxy S21"/>
    <s v="Android"/>
    <n v="340"/>
    <n v="7.7"/>
    <n v="2138"/>
    <n v="75"/>
    <n v="1053"/>
    <n v="42"/>
    <s v="40+"/>
    <s v="Female"/>
    <n v="4"/>
    <x v="0"/>
    <x v="0"/>
    <x v="0"/>
    <x v="0"/>
  </r>
  <r>
    <n v="10"/>
    <s v="iPhone 12"/>
    <s v="iOS"/>
    <n v="424"/>
    <n v="6.6"/>
    <n v="1957"/>
    <n v="75"/>
    <n v="1301"/>
    <n v="42"/>
    <s v="40+"/>
    <s v="Male"/>
    <n v="4"/>
    <x v="0"/>
    <x v="0"/>
    <x v="0"/>
    <x v="0"/>
  </r>
  <r>
    <n v="11"/>
    <s v="Google Pixel 5"/>
    <s v="Android"/>
    <n v="53"/>
    <n v="1.4"/>
    <n v="435"/>
    <n v="17"/>
    <n v="162"/>
    <n v="34"/>
    <s v="25–40"/>
    <s v="Female"/>
    <n v="1"/>
    <x v="1"/>
    <x v="2"/>
    <x v="0"/>
    <x v="0"/>
  </r>
  <r>
    <n v="12"/>
    <s v="OnePlus 9"/>
    <s v="Android"/>
    <n v="215"/>
    <n v="5.5"/>
    <n v="1690"/>
    <n v="47"/>
    <n v="641"/>
    <n v="24"/>
    <s v="&lt;25"/>
    <s v="Male"/>
    <n v="3"/>
    <x v="0"/>
    <x v="0"/>
    <x v="0"/>
    <x v="0"/>
  </r>
  <r>
    <n v="13"/>
    <s v="OnePlus 9"/>
    <s v="Android"/>
    <n v="462"/>
    <n v="6.2"/>
    <n v="2303"/>
    <n v="65"/>
    <n v="1099"/>
    <n v="57"/>
    <s v="40+"/>
    <s v="Female"/>
    <n v="4"/>
    <x v="0"/>
    <x v="0"/>
    <x v="0"/>
    <x v="1"/>
  </r>
  <r>
    <n v="14"/>
    <s v="Xiaomi Mi 11"/>
    <s v="Android"/>
    <n v="215"/>
    <n v="4.9000000000000004"/>
    <n v="1662"/>
    <n v="43"/>
    <n v="857"/>
    <n v="43"/>
    <s v="40+"/>
    <s v="Male"/>
    <n v="3"/>
    <x v="0"/>
    <x v="0"/>
    <x v="0"/>
    <x v="0"/>
  </r>
  <r>
    <n v="15"/>
    <s v="iPhone 12"/>
    <s v="iOS"/>
    <n v="189"/>
    <n v="5.4"/>
    <n v="1754"/>
    <n v="53"/>
    <n v="779"/>
    <n v="49"/>
    <s v="40+"/>
    <s v="Female"/>
    <n v="3"/>
    <x v="0"/>
    <x v="0"/>
    <x v="0"/>
    <x v="0"/>
  </r>
  <r>
    <n v="16"/>
    <s v="Google Pixel 5"/>
    <s v="Android"/>
    <n v="503"/>
    <n v="10.4"/>
    <n v="2571"/>
    <n v="84"/>
    <n v="2025"/>
    <n v="39"/>
    <s v="25–40"/>
    <s v="Female"/>
    <n v="5"/>
    <x v="0"/>
    <x v="0"/>
    <x v="1"/>
    <x v="1"/>
  </r>
  <r>
    <n v="17"/>
    <s v="OnePlus 9"/>
    <s v="Android"/>
    <n v="132"/>
    <n v="3.6"/>
    <n v="628"/>
    <n v="32"/>
    <n v="344"/>
    <n v="47"/>
    <s v="40+"/>
    <s v="Female"/>
    <n v="2"/>
    <x v="0"/>
    <x v="1"/>
    <x v="0"/>
    <x v="0"/>
  </r>
  <r>
    <n v="18"/>
    <s v="iPhone 12"/>
    <s v="iOS"/>
    <n v="299"/>
    <n v="5.8"/>
    <n v="1431"/>
    <n v="41"/>
    <n v="985"/>
    <n v="44"/>
    <s v="40+"/>
    <s v="Female"/>
    <n v="3"/>
    <x v="0"/>
    <x v="0"/>
    <x v="0"/>
    <x v="0"/>
  </r>
  <r>
    <n v="19"/>
    <s v="Google Pixel 5"/>
    <s v="Android"/>
    <n v="81"/>
    <n v="1.4"/>
    <n v="558"/>
    <n v="16"/>
    <n v="297"/>
    <n v="26"/>
    <s v="25–40"/>
    <s v="Female"/>
    <n v="1"/>
    <x v="0"/>
    <x v="1"/>
    <x v="0"/>
    <x v="0"/>
  </r>
  <r>
    <n v="20"/>
    <s v="iPhone 12"/>
    <s v="iOS"/>
    <n v="577"/>
    <n v="8.5"/>
    <n v="2774"/>
    <n v="89"/>
    <n v="2192"/>
    <n v="29"/>
    <s v="25–40"/>
    <s v="Female"/>
    <n v="5"/>
    <x v="0"/>
    <x v="0"/>
    <x v="1"/>
    <x v="1"/>
  </r>
  <r>
    <n v="21"/>
    <s v="Samsung Galaxy S21"/>
    <s v="Android"/>
    <n v="93"/>
    <n v="2.6"/>
    <n v="681"/>
    <n v="37"/>
    <n v="302"/>
    <n v="45"/>
    <s v="40+"/>
    <s v="Female"/>
    <n v="2"/>
    <x v="0"/>
    <x v="1"/>
    <x v="0"/>
    <x v="0"/>
  </r>
  <r>
    <n v="22"/>
    <s v="OnePlus 9"/>
    <s v="Android"/>
    <n v="576"/>
    <n v="11.6"/>
    <n v="2803"/>
    <n v="82"/>
    <n v="1553"/>
    <n v="43"/>
    <s v="40+"/>
    <s v="Female"/>
    <n v="5"/>
    <x v="0"/>
    <x v="0"/>
    <x v="1"/>
    <x v="1"/>
  </r>
  <r>
    <n v="23"/>
    <s v="Samsung Galaxy S21"/>
    <s v="Android"/>
    <n v="423"/>
    <n v="6.5"/>
    <n v="2094"/>
    <n v="65"/>
    <n v="1372"/>
    <n v="23"/>
    <s v="&lt;25"/>
    <s v="Female"/>
    <n v="4"/>
    <x v="0"/>
    <x v="0"/>
    <x v="1"/>
    <x v="0"/>
  </r>
  <r>
    <n v="24"/>
    <s v="Google Pixel 5"/>
    <s v="Android"/>
    <n v="292"/>
    <n v="5.6"/>
    <n v="1401"/>
    <n v="46"/>
    <n v="949"/>
    <n v="37"/>
    <s v="25–40"/>
    <s v="Female"/>
    <n v="3"/>
    <x v="0"/>
    <x v="0"/>
    <x v="0"/>
    <x v="0"/>
  </r>
  <r>
    <n v="25"/>
    <s v="OnePlus 9"/>
    <s v="Android"/>
    <n v="216"/>
    <n v="4"/>
    <n v="1711"/>
    <n v="59"/>
    <n v="748"/>
    <n v="58"/>
    <s v="40+"/>
    <s v="Male"/>
    <n v="3"/>
    <x v="0"/>
    <x v="0"/>
    <x v="0"/>
    <x v="0"/>
  </r>
  <r>
    <n v="26"/>
    <s v="Samsung Galaxy S21"/>
    <s v="Android"/>
    <n v="91"/>
    <n v="3.4"/>
    <n v="1073"/>
    <n v="38"/>
    <n v="451"/>
    <n v="52"/>
    <s v="40+"/>
    <s v="Male"/>
    <n v="2"/>
    <x v="0"/>
    <x v="1"/>
    <x v="0"/>
    <x v="0"/>
  </r>
  <r>
    <n v="27"/>
    <s v="iPhone 12"/>
    <s v="iOS"/>
    <n v="444"/>
    <n v="7.6"/>
    <n v="2372"/>
    <n v="77"/>
    <n v="1002"/>
    <n v="29"/>
    <s v="25–40"/>
    <s v="Male"/>
    <n v="4"/>
    <x v="0"/>
    <x v="0"/>
    <x v="0"/>
    <x v="1"/>
  </r>
  <r>
    <n v="28"/>
    <s v="Google Pixel 5"/>
    <s v="Android"/>
    <n v="512"/>
    <n v="10.5"/>
    <n v="2409"/>
    <n v="89"/>
    <n v="1599"/>
    <n v="33"/>
    <s v="25–40"/>
    <s v="Male"/>
    <n v="5"/>
    <x v="0"/>
    <x v="0"/>
    <x v="1"/>
    <x v="1"/>
  </r>
  <r>
    <n v="29"/>
    <s v="OnePlus 9"/>
    <s v="Android"/>
    <n v="452"/>
    <n v="6.8"/>
    <n v="2387"/>
    <n v="77"/>
    <n v="1456"/>
    <n v="55"/>
    <s v="40+"/>
    <s v="Female"/>
    <n v="4"/>
    <x v="0"/>
    <x v="0"/>
    <x v="1"/>
    <x v="1"/>
  </r>
  <r>
    <n v="30"/>
    <s v="Samsung Galaxy S21"/>
    <s v="Android"/>
    <n v="412"/>
    <n v="6.2"/>
    <n v="1899"/>
    <n v="78"/>
    <n v="1384"/>
    <n v="19"/>
    <s v="&lt;25"/>
    <s v="Female"/>
    <n v="4"/>
    <x v="0"/>
    <x v="0"/>
    <x v="1"/>
    <x v="0"/>
  </r>
  <r>
    <n v="31"/>
    <s v="Xiaomi Mi 11"/>
    <s v="Android"/>
    <n v="260"/>
    <n v="6"/>
    <n v="1361"/>
    <n v="44"/>
    <n v="889"/>
    <n v="37"/>
    <s v="25–40"/>
    <s v="Female"/>
    <n v="3"/>
    <x v="0"/>
    <x v="0"/>
    <x v="0"/>
    <x v="0"/>
  </r>
  <r>
    <n v="32"/>
    <s v="Xiaomi Mi 11"/>
    <s v="Android"/>
    <n v="197"/>
    <n v="4.5999999999999996"/>
    <n v="1660"/>
    <n v="59"/>
    <n v="975"/>
    <n v="25"/>
    <s v="25–40"/>
    <s v="Male"/>
    <n v="3"/>
    <x v="0"/>
    <x v="0"/>
    <x v="0"/>
    <x v="0"/>
  </r>
  <r>
    <n v="33"/>
    <s v="Google Pixel 5"/>
    <s v="Android"/>
    <n v="278"/>
    <n v="4.7"/>
    <n v="1484"/>
    <n v="55"/>
    <n v="917"/>
    <n v="21"/>
    <s v="&lt;25"/>
    <s v="Male"/>
    <n v="3"/>
    <x v="0"/>
    <x v="0"/>
    <x v="0"/>
    <x v="0"/>
  </r>
  <r>
    <n v="34"/>
    <s v="Google Pixel 5"/>
    <s v="Android"/>
    <n v="46"/>
    <n v="2"/>
    <n v="457"/>
    <n v="14"/>
    <n v="105"/>
    <n v="58"/>
    <s v="40+"/>
    <s v="Male"/>
    <n v="1"/>
    <x v="1"/>
    <x v="2"/>
    <x v="0"/>
    <x v="0"/>
  </r>
  <r>
    <n v="35"/>
    <s v="Xiaomi Mi 11"/>
    <s v="Android"/>
    <n v="593"/>
    <n v="10.199999999999999"/>
    <n v="2499"/>
    <n v="81"/>
    <n v="1616"/>
    <n v="38"/>
    <s v="25–40"/>
    <s v="Female"/>
    <n v="5"/>
    <x v="0"/>
    <x v="0"/>
    <x v="1"/>
    <x v="1"/>
  </r>
  <r>
    <n v="36"/>
    <s v="Samsung Galaxy S21"/>
    <s v="Android"/>
    <n v="32"/>
    <n v="1.2"/>
    <n v="580"/>
    <n v="19"/>
    <n v="153"/>
    <n v="20"/>
    <s v="&lt;25"/>
    <s v="Female"/>
    <n v="1"/>
    <x v="1"/>
    <x v="2"/>
    <x v="0"/>
    <x v="0"/>
  </r>
  <r>
    <n v="37"/>
    <s v="iPhone 12"/>
    <s v="iOS"/>
    <n v="122"/>
    <n v="3.3"/>
    <n v="755"/>
    <n v="30"/>
    <n v="573"/>
    <n v="26"/>
    <s v="25–40"/>
    <s v="Male"/>
    <n v="2"/>
    <x v="0"/>
    <x v="1"/>
    <x v="0"/>
    <x v="0"/>
  </r>
  <r>
    <n v="38"/>
    <s v="Samsung Galaxy S21"/>
    <s v="Android"/>
    <n v="522"/>
    <n v="11.2"/>
    <n v="2808"/>
    <n v="93"/>
    <n v="2328"/>
    <n v="24"/>
    <s v="&lt;25"/>
    <s v="Male"/>
    <n v="5"/>
    <x v="0"/>
    <x v="0"/>
    <x v="1"/>
    <x v="1"/>
  </r>
  <r>
    <n v="39"/>
    <s v="OnePlus 9"/>
    <s v="Android"/>
    <n v="473"/>
    <n v="6.4"/>
    <n v="2312"/>
    <n v="74"/>
    <n v="1400"/>
    <n v="40"/>
    <s v="25–40"/>
    <s v="Male"/>
    <n v="4"/>
    <x v="0"/>
    <x v="0"/>
    <x v="1"/>
    <x v="1"/>
  </r>
  <r>
    <n v="40"/>
    <s v="Samsung Galaxy S21"/>
    <s v="Android"/>
    <n v="398"/>
    <n v="6.2"/>
    <n v="1851"/>
    <n v="77"/>
    <n v="1180"/>
    <n v="23"/>
    <s v="&lt;25"/>
    <s v="Male"/>
    <n v="4"/>
    <x v="0"/>
    <x v="0"/>
    <x v="0"/>
    <x v="0"/>
  </r>
  <r>
    <n v="41"/>
    <s v="Xiaomi Mi 11"/>
    <s v="Android"/>
    <n v="240"/>
    <n v="4.7"/>
    <n v="1464"/>
    <n v="52"/>
    <n v="708"/>
    <n v="56"/>
    <s v="40+"/>
    <s v="Female"/>
    <n v="3"/>
    <x v="0"/>
    <x v="0"/>
    <x v="0"/>
    <x v="0"/>
  </r>
  <r>
    <n v="42"/>
    <s v="OnePlus 9"/>
    <s v="Android"/>
    <n v="576"/>
    <n v="10.1"/>
    <n v="2447"/>
    <n v="83"/>
    <n v="2323"/>
    <n v="33"/>
    <s v="25–40"/>
    <s v="Male"/>
    <n v="5"/>
    <x v="0"/>
    <x v="0"/>
    <x v="1"/>
    <x v="1"/>
  </r>
  <r>
    <n v="43"/>
    <s v="Samsung Galaxy S21"/>
    <s v="Android"/>
    <n v="120"/>
    <n v="2.1"/>
    <n v="720"/>
    <n v="39"/>
    <n v="392"/>
    <n v="43"/>
    <s v="40+"/>
    <s v="Male"/>
    <n v="2"/>
    <x v="0"/>
    <x v="1"/>
    <x v="0"/>
    <x v="0"/>
  </r>
  <r>
    <n v="44"/>
    <s v="Samsung Galaxy S21"/>
    <s v="Android"/>
    <n v="152"/>
    <n v="3.7"/>
    <n v="993"/>
    <n v="32"/>
    <n v="429"/>
    <n v="18"/>
    <s v="&lt;25"/>
    <s v="Male"/>
    <n v="2"/>
    <x v="0"/>
    <x v="1"/>
    <x v="0"/>
    <x v="0"/>
  </r>
  <r>
    <n v="45"/>
    <s v="Xiaomi Mi 11"/>
    <s v="Android"/>
    <n v="138"/>
    <n v="2.4"/>
    <n v="837"/>
    <n v="21"/>
    <n v="572"/>
    <n v="56"/>
    <s v="40+"/>
    <s v="Female"/>
    <n v="2"/>
    <x v="0"/>
    <x v="1"/>
    <x v="0"/>
    <x v="0"/>
  </r>
  <r>
    <n v="46"/>
    <s v="Xiaomi Mi 11"/>
    <s v="Android"/>
    <n v="502"/>
    <n v="10.9"/>
    <n v="2476"/>
    <n v="96"/>
    <n v="1935"/>
    <n v="39"/>
    <s v="25–40"/>
    <s v="Male"/>
    <n v="5"/>
    <x v="0"/>
    <x v="0"/>
    <x v="1"/>
    <x v="1"/>
  </r>
  <r>
    <n v="47"/>
    <s v="OnePlus 9"/>
    <s v="Android"/>
    <n v="558"/>
    <n v="8.4"/>
    <n v="2447"/>
    <n v="97"/>
    <n v="1594"/>
    <n v="22"/>
    <s v="&lt;25"/>
    <s v="Female"/>
    <n v="5"/>
    <x v="0"/>
    <x v="0"/>
    <x v="1"/>
    <x v="1"/>
  </r>
  <r>
    <n v="48"/>
    <s v="Samsung Galaxy S21"/>
    <s v="Android"/>
    <n v="138"/>
    <n v="3.6"/>
    <n v="889"/>
    <n v="25"/>
    <n v="323"/>
    <n v="27"/>
    <s v="25–40"/>
    <s v="Female"/>
    <n v="2"/>
    <x v="0"/>
    <x v="1"/>
    <x v="0"/>
    <x v="0"/>
  </r>
  <r>
    <n v="49"/>
    <s v="Google Pixel 5"/>
    <s v="Android"/>
    <n v="580"/>
    <n v="8.1999999999999993"/>
    <n v="2623"/>
    <n v="90"/>
    <n v="2262"/>
    <n v="49"/>
    <s v="40+"/>
    <s v="Male"/>
    <n v="5"/>
    <x v="0"/>
    <x v="0"/>
    <x v="1"/>
    <x v="1"/>
  </r>
  <r>
    <n v="50"/>
    <s v="OnePlus 9"/>
    <s v="Android"/>
    <n v="589"/>
    <n v="8.6999999999999993"/>
    <n v="2736"/>
    <n v="82"/>
    <n v="1997"/>
    <n v="49"/>
    <s v="40+"/>
    <s v="Male"/>
    <n v="5"/>
    <x v="0"/>
    <x v="0"/>
    <x v="1"/>
    <x v="1"/>
  </r>
  <r>
    <n v="51"/>
    <s v="Xiaomi Mi 11"/>
    <s v="Android"/>
    <n v="452"/>
    <n v="7.4"/>
    <n v="2180"/>
    <n v="61"/>
    <n v="1417"/>
    <n v="54"/>
    <s v="40+"/>
    <s v="Female"/>
    <n v="4"/>
    <x v="0"/>
    <x v="0"/>
    <x v="1"/>
    <x v="0"/>
  </r>
  <r>
    <n v="52"/>
    <s v="Xiaomi Mi 11"/>
    <s v="Android"/>
    <n v="245"/>
    <n v="5.9"/>
    <n v="1243"/>
    <n v="52"/>
    <n v="885"/>
    <n v="29"/>
    <s v="25–40"/>
    <s v="Male"/>
    <n v="3"/>
    <x v="0"/>
    <x v="0"/>
    <x v="0"/>
    <x v="0"/>
  </r>
  <r>
    <n v="53"/>
    <s v="Samsung Galaxy S21"/>
    <s v="Android"/>
    <n v="125"/>
    <n v="2.7"/>
    <n v="690"/>
    <n v="28"/>
    <n v="393"/>
    <n v="27"/>
    <s v="25–40"/>
    <s v="Female"/>
    <n v="2"/>
    <x v="0"/>
    <x v="1"/>
    <x v="0"/>
    <x v="0"/>
  </r>
  <r>
    <n v="54"/>
    <s v="Xiaomi Mi 11"/>
    <s v="Android"/>
    <n v="97"/>
    <n v="2.2000000000000002"/>
    <n v="1101"/>
    <n v="38"/>
    <n v="375"/>
    <n v="53"/>
    <s v="40+"/>
    <s v="Male"/>
    <n v="2"/>
    <x v="0"/>
    <x v="1"/>
    <x v="0"/>
    <x v="0"/>
  </r>
  <r>
    <n v="55"/>
    <s v="Google Pixel 5"/>
    <s v="Android"/>
    <n v="516"/>
    <n v="8.6999999999999993"/>
    <n v="2857"/>
    <n v="83"/>
    <n v="2189"/>
    <n v="53"/>
    <s v="40+"/>
    <s v="Female"/>
    <n v="5"/>
    <x v="0"/>
    <x v="0"/>
    <x v="1"/>
    <x v="1"/>
  </r>
  <r>
    <n v="56"/>
    <s v="iPhone 12"/>
    <s v="iOS"/>
    <n v="68"/>
    <n v="1.6"/>
    <n v="450"/>
    <n v="14"/>
    <n v="111"/>
    <n v="30"/>
    <s v="25–40"/>
    <s v="Male"/>
    <n v="1"/>
    <x v="0"/>
    <x v="1"/>
    <x v="0"/>
    <x v="0"/>
  </r>
  <r>
    <n v="57"/>
    <s v="OnePlus 9"/>
    <s v="Android"/>
    <n v="64"/>
    <n v="1.1000000000000001"/>
    <n v="572"/>
    <n v="10"/>
    <n v="161"/>
    <n v="42"/>
    <s v="40+"/>
    <s v="Female"/>
    <n v="1"/>
    <x v="0"/>
    <x v="1"/>
    <x v="0"/>
    <x v="0"/>
  </r>
  <r>
    <n v="58"/>
    <s v="OnePlus 9"/>
    <s v="Android"/>
    <n v="539"/>
    <n v="8.4"/>
    <n v="2796"/>
    <n v="89"/>
    <n v="2415"/>
    <n v="26"/>
    <s v="25–40"/>
    <s v="Male"/>
    <n v="5"/>
    <x v="0"/>
    <x v="0"/>
    <x v="1"/>
    <x v="1"/>
  </r>
  <r>
    <n v="59"/>
    <s v="Xiaomi Mi 11"/>
    <s v="Android"/>
    <n v="428"/>
    <n v="7"/>
    <n v="2306"/>
    <n v="75"/>
    <n v="1144"/>
    <n v="22"/>
    <s v="&lt;25"/>
    <s v="Male"/>
    <n v="4"/>
    <x v="0"/>
    <x v="0"/>
    <x v="0"/>
    <x v="1"/>
  </r>
  <r>
    <n v="60"/>
    <s v="iPhone 12"/>
    <s v="iOS"/>
    <n v="325"/>
    <n v="7.1"/>
    <n v="2269"/>
    <n v="64"/>
    <n v="1053"/>
    <n v="56"/>
    <s v="40+"/>
    <s v="Male"/>
    <n v="4"/>
    <x v="0"/>
    <x v="0"/>
    <x v="0"/>
    <x v="1"/>
  </r>
  <r>
    <n v="61"/>
    <s v="Xiaomi Mi 11"/>
    <s v="Android"/>
    <n v="522"/>
    <n v="11.9"/>
    <n v="2798"/>
    <n v="85"/>
    <n v="1663"/>
    <n v="28"/>
    <s v="25–40"/>
    <s v="Female"/>
    <n v="5"/>
    <x v="0"/>
    <x v="0"/>
    <x v="1"/>
    <x v="1"/>
  </r>
  <r>
    <n v="62"/>
    <s v="Xiaomi Mi 11"/>
    <s v="Android"/>
    <n v="309"/>
    <n v="7.5"/>
    <n v="2292"/>
    <n v="77"/>
    <n v="1253"/>
    <n v="57"/>
    <s v="40+"/>
    <s v="Female"/>
    <n v="4"/>
    <x v="0"/>
    <x v="0"/>
    <x v="0"/>
    <x v="1"/>
  </r>
  <r>
    <n v="63"/>
    <s v="Xiaomi Mi 11"/>
    <s v="Android"/>
    <n v="79"/>
    <n v="1.9"/>
    <n v="493"/>
    <n v="14"/>
    <n v="128"/>
    <n v="55"/>
    <s v="40+"/>
    <s v="Male"/>
    <n v="1"/>
    <x v="0"/>
    <x v="1"/>
    <x v="0"/>
    <x v="0"/>
  </r>
  <r>
    <n v="64"/>
    <s v="Xiaomi Mi 11"/>
    <s v="Android"/>
    <n v="545"/>
    <n v="11.5"/>
    <n v="2911"/>
    <n v="87"/>
    <n v="1717"/>
    <n v="21"/>
    <s v="&lt;25"/>
    <s v="Female"/>
    <n v="5"/>
    <x v="0"/>
    <x v="0"/>
    <x v="1"/>
    <x v="1"/>
  </r>
  <r>
    <n v="65"/>
    <s v="Samsung Galaxy S21"/>
    <s v="Android"/>
    <n v="459"/>
    <n v="7"/>
    <n v="1982"/>
    <n v="67"/>
    <n v="1091"/>
    <n v="43"/>
    <s v="40+"/>
    <s v="Male"/>
    <n v="4"/>
    <x v="0"/>
    <x v="0"/>
    <x v="0"/>
    <x v="0"/>
  </r>
  <r>
    <n v="66"/>
    <s v="iPhone 12"/>
    <s v="iOS"/>
    <n v="225"/>
    <n v="4"/>
    <n v="1420"/>
    <n v="48"/>
    <n v="917"/>
    <n v="56"/>
    <s v="40+"/>
    <s v="Male"/>
    <n v="3"/>
    <x v="0"/>
    <x v="0"/>
    <x v="0"/>
    <x v="0"/>
  </r>
  <r>
    <n v="67"/>
    <s v="iPhone 12"/>
    <s v="iOS"/>
    <n v="257"/>
    <n v="4.5"/>
    <n v="1705"/>
    <n v="57"/>
    <n v="912"/>
    <n v="55"/>
    <s v="40+"/>
    <s v="Male"/>
    <n v="3"/>
    <x v="0"/>
    <x v="0"/>
    <x v="0"/>
    <x v="0"/>
  </r>
  <r>
    <n v="68"/>
    <s v="Xiaomi Mi 11"/>
    <s v="Android"/>
    <n v="134"/>
    <n v="4"/>
    <n v="773"/>
    <n v="35"/>
    <n v="449"/>
    <n v="28"/>
    <s v="25–40"/>
    <s v="Female"/>
    <n v="2"/>
    <x v="0"/>
    <x v="1"/>
    <x v="0"/>
    <x v="0"/>
  </r>
  <r>
    <n v="69"/>
    <s v="iPhone 12"/>
    <s v="iOS"/>
    <n v="516"/>
    <n v="10.199999999999999"/>
    <n v="2932"/>
    <n v="98"/>
    <n v="1547"/>
    <n v="31"/>
    <s v="25–40"/>
    <s v="Male"/>
    <n v="5"/>
    <x v="0"/>
    <x v="0"/>
    <x v="1"/>
    <x v="1"/>
  </r>
  <r>
    <n v="70"/>
    <s v="Google Pixel 5"/>
    <s v="Android"/>
    <n v="82"/>
    <n v="1.7"/>
    <n v="558"/>
    <n v="16"/>
    <n v="284"/>
    <n v="29"/>
    <s v="25–40"/>
    <s v="Female"/>
    <n v="1"/>
    <x v="0"/>
    <x v="1"/>
    <x v="0"/>
    <x v="0"/>
  </r>
  <r>
    <n v="71"/>
    <s v="Samsung Galaxy S21"/>
    <s v="Android"/>
    <n v="452"/>
    <n v="7.2"/>
    <n v="1808"/>
    <n v="64"/>
    <n v="1090"/>
    <n v="45"/>
    <s v="40+"/>
    <s v="Female"/>
    <n v="4"/>
    <x v="0"/>
    <x v="0"/>
    <x v="0"/>
    <x v="0"/>
  </r>
  <r>
    <n v="72"/>
    <s v="iPhone 12"/>
    <s v="iOS"/>
    <n v="521"/>
    <n v="9"/>
    <n v="2902"/>
    <n v="97"/>
    <n v="1701"/>
    <n v="37"/>
    <s v="25–40"/>
    <s v="Male"/>
    <n v="5"/>
    <x v="0"/>
    <x v="0"/>
    <x v="1"/>
    <x v="1"/>
  </r>
  <r>
    <n v="73"/>
    <s v="Google Pixel 5"/>
    <s v="Android"/>
    <n v="457"/>
    <n v="6.3"/>
    <n v="2347"/>
    <n v="66"/>
    <n v="1082"/>
    <n v="22"/>
    <s v="&lt;25"/>
    <s v="Male"/>
    <n v="4"/>
    <x v="0"/>
    <x v="0"/>
    <x v="0"/>
    <x v="1"/>
  </r>
  <r>
    <n v="74"/>
    <s v="Xiaomi Mi 11"/>
    <s v="Android"/>
    <n v="31"/>
    <n v="1.1000000000000001"/>
    <n v="585"/>
    <n v="11"/>
    <n v="208"/>
    <n v="50"/>
    <s v="40+"/>
    <s v="Female"/>
    <n v="1"/>
    <x v="1"/>
    <x v="2"/>
    <x v="0"/>
    <x v="0"/>
  </r>
  <r>
    <n v="75"/>
    <s v="iPhone 12"/>
    <s v="iOS"/>
    <n v="47"/>
    <n v="2"/>
    <n v="476"/>
    <n v="14"/>
    <n v="125"/>
    <n v="39"/>
    <s v="25–40"/>
    <s v="Male"/>
    <n v="1"/>
    <x v="1"/>
    <x v="2"/>
    <x v="0"/>
    <x v="0"/>
  </r>
  <r>
    <n v="76"/>
    <s v="Xiaomi Mi 11"/>
    <s v="Android"/>
    <n v="229"/>
    <n v="5.7"/>
    <n v="1305"/>
    <n v="43"/>
    <n v="985"/>
    <n v="23"/>
    <s v="&lt;25"/>
    <s v="Female"/>
    <n v="3"/>
    <x v="0"/>
    <x v="0"/>
    <x v="0"/>
    <x v="0"/>
  </r>
  <r>
    <n v="77"/>
    <s v="Xiaomi Mi 11"/>
    <s v="Android"/>
    <n v="34"/>
    <n v="2"/>
    <n v="558"/>
    <n v="14"/>
    <n v="122"/>
    <n v="54"/>
    <s v="40+"/>
    <s v="Female"/>
    <n v="1"/>
    <x v="1"/>
    <x v="2"/>
    <x v="0"/>
    <x v="0"/>
  </r>
  <r>
    <n v="78"/>
    <s v="Google Pixel 5"/>
    <s v="Android"/>
    <n v="173"/>
    <n v="2.5"/>
    <n v="678"/>
    <n v="29"/>
    <n v="301"/>
    <n v="30"/>
    <s v="25–40"/>
    <s v="Female"/>
    <n v="2"/>
    <x v="0"/>
    <x v="1"/>
    <x v="0"/>
    <x v="0"/>
  </r>
  <r>
    <n v="79"/>
    <s v="Samsung Galaxy S21"/>
    <s v="Android"/>
    <n v="78"/>
    <n v="1.8"/>
    <n v="333"/>
    <n v="17"/>
    <n v="138"/>
    <n v="51"/>
    <s v="40+"/>
    <s v="Female"/>
    <n v="1"/>
    <x v="0"/>
    <x v="1"/>
    <x v="0"/>
    <x v="0"/>
  </r>
  <r>
    <n v="80"/>
    <s v="Google Pixel 5"/>
    <s v="Android"/>
    <n v="230"/>
    <n v="5.7"/>
    <n v="1254"/>
    <n v="52"/>
    <n v="989"/>
    <n v="34"/>
    <s v="25–40"/>
    <s v="Female"/>
    <n v="3"/>
    <x v="0"/>
    <x v="0"/>
    <x v="0"/>
    <x v="0"/>
  </r>
  <r>
    <n v="81"/>
    <s v="OnePlus 9"/>
    <s v="Android"/>
    <n v="565"/>
    <n v="10.6"/>
    <n v="2475"/>
    <n v="99"/>
    <n v="1603"/>
    <n v="51"/>
    <s v="40+"/>
    <s v="Female"/>
    <n v="5"/>
    <x v="0"/>
    <x v="0"/>
    <x v="1"/>
    <x v="1"/>
  </r>
  <r>
    <n v="82"/>
    <s v="iPhone 12"/>
    <s v="iOS"/>
    <n v="172"/>
    <n v="2.8"/>
    <n v="1035"/>
    <n v="22"/>
    <n v="549"/>
    <n v="41"/>
    <s v="40+"/>
    <s v="Male"/>
    <n v="2"/>
    <x v="0"/>
    <x v="1"/>
    <x v="0"/>
    <x v="0"/>
  </r>
  <r>
    <n v="83"/>
    <s v="Xiaomi Mi 11"/>
    <s v="Android"/>
    <n v="330"/>
    <n v="7.2"/>
    <n v="2363"/>
    <n v="77"/>
    <n v="1133"/>
    <n v="21"/>
    <s v="&lt;25"/>
    <s v="Female"/>
    <n v="4"/>
    <x v="0"/>
    <x v="0"/>
    <x v="0"/>
    <x v="1"/>
  </r>
  <r>
    <n v="84"/>
    <s v="Xiaomi Mi 11"/>
    <s v="Android"/>
    <n v="39"/>
    <n v="1.8"/>
    <n v="368"/>
    <n v="11"/>
    <n v="105"/>
    <n v="19"/>
    <s v="&lt;25"/>
    <s v="Male"/>
    <n v="1"/>
    <x v="1"/>
    <x v="2"/>
    <x v="0"/>
    <x v="0"/>
  </r>
  <r>
    <n v="85"/>
    <s v="Google Pixel 5"/>
    <s v="Android"/>
    <n v="223"/>
    <n v="4.5"/>
    <n v="1311"/>
    <n v="56"/>
    <n v="695"/>
    <n v="33"/>
    <s v="25–40"/>
    <s v="Female"/>
    <n v="3"/>
    <x v="0"/>
    <x v="0"/>
    <x v="0"/>
    <x v="0"/>
  </r>
  <r>
    <n v="86"/>
    <s v="Google Pixel 5"/>
    <s v="Android"/>
    <n v="404"/>
    <n v="7.4"/>
    <n v="2081"/>
    <n v="63"/>
    <n v="1352"/>
    <n v="44"/>
    <s v="40+"/>
    <s v="Male"/>
    <n v="4"/>
    <x v="0"/>
    <x v="0"/>
    <x v="1"/>
    <x v="0"/>
  </r>
  <r>
    <n v="87"/>
    <s v="Samsung Galaxy S21"/>
    <s v="Android"/>
    <n v="151"/>
    <n v="2.4"/>
    <n v="1003"/>
    <n v="25"/>
    <n v="392"/>
    <n v="39"/>
    <s v="25–40"/>
    <s v="Male"/>
    <n v="2"/>
    <x v="0"/>
    <x v="1"/>
    <x v="0"/>
    <x v="0"/>
  </r>
  <r>
    <n v="88"/>
    <s v="Samsung Galaxy S21"/>
    <s v="Android"/>
    <n v="34"/>
    <n v="1.5"/>
    <n v="345"/>
    <n v="11"/>
    <n v="276"/>
    <n v="44"/>
    <s v="40+"/>
    <s v="Male"/>
    <n v="1"/>
    <x v="1"/>
    <x v="2"/>
    <x v="0"/>
    <x v="0"/>
  </r>
  <r>
    <n v="89"/>
    <s v="Xiaomi Mi 11"/>
    <s v="Android"/>
    <n v="137"/>
    <n v="3.3"/>
    <n v="839"/>
    <n v="31"/>
    <n v="348"/>
    <n v="34"/>
    <s v="25–40"/>
    <s v="Female"/>
    <n v="2"/>
    <x v="0"/>
    <x v="1"/>
    <x v="0"/>
    <x v="0"/>
  </r>
  <r>
    <n v="90"/>
    <s v="Samsung Galaxy S21"/>
    <s v="Android"/>
    <n v="301"/>
    <n v="6.2"/>
    <n v="2053"/>
    <n v="75"/>
    <n v="1303"/>
    <n v="45"/>
    <s v="40+"/>
    <s v="Male"/>
    <n v="4"/>
    <x v="0"/>
    <x v="0"/>
    <x v="0"/>
    <x v="0"/>
  </r>
  <r>
    <n v="91"/>
    <s v="Google Pixel 5"/>
    <s v="Android"/>
    <n v="116"/>
    <n v="2.1"/>
    <n v="912"/>
    <n v="39"/>
    <n v="307"/>
    <n v="40"/>
    <s v="25–40"/>
    <s v="Female"/>
    <n v="2"/>
    <x v="0"/>
    <x v="1"/>
    <x v="0"/>
    <x v="0"/>
  </r>
  <r>
    <n v="92"/>
    <s v="Google Pixel 5"/>
    <s v="Android"/>
    <n v="291"/>
    <n v="4.0999999999999996"/>
    <n v="1474"/>
    <n v="46"/>
    <n v="827"/>
    <n v="32"/>
    <s v="25–40"/>
    <s v="Female"/>
    <n v="3"/>
    <x v="0"/>
    <x v="0"/>
    <x v="0"/>
    <x v="0"/>
  </r>
  <r>
    <n v="93"/>
    <s v="iPhone 12"/>
    <s v="iOS"/>
    <n v="84"/>
    <n v="1.4"/>
    <n v="501"/>
    <n v="16"/>
    <n v="284"/>
    <n v="56"/>
    <s v="40+"/>
    <s v="Female"/>
    <n v="1"/>
    <x v="0"/>
    <x v="1"/>
    <x v="0"/>
    <x v="0"/>
  </r>
  <r>
    <n v="94"/>
    <s v="iPhone 12"/>
    <s v="iOS"/>
    <n v="134"/>
    <n v="2.5"/>
    <n v="1125"/>
    <n v="24"/>
    <n v="367"/>
    <n v="35"/>
    <s v="25–40"/>
    <s v="Male"/>
    <n v="2"/>
    <x v="0"/>
    <x v="1"/>
    <x v="0"/>
    <x v="0"/>
  </r>
  <r>
    <n v="95"/>
    <s v="Samsung Galaxy S21"/>
    <s v="Android"/>
    <n v="411"/>
    <n v="7.5"/>
    <n v="2169"/>
    <n v="72"/>
    <n v="1083"/>
    <n v="58"/>
    <s v="40+"/>
    <s v="Male"/>
    <n v="4"/>
    <x v="0"/>
    <x v="0"/>
    <x v="0"/>
    <x v="0"/>
  </r>
  <r>
    <n v="96"/>
    <s v="Xiaomi Mi 11"/>
    <s v="Android"/>
    <n v="326"/>
    <n v="7.2"/>
    <n v="2243"/>
    <n v="73"/>
    <n v="1454"/>
    <n v="50"/>
    <s v="40+"/>
    <s v="Male"/>
    <n v="4"/>
    <x v="0"/>
    <x v="0"/>
    <x v="1"/>
    <x v="1"/>
  </r>
  <r>
    <n v="97"/>
    <s v="iPhone 12"/>
    <s v="iOS"/>
    <n v="550"/>
    <n v="9.5"/>
    <n v="2916"/>
    <n v="91"/>
    <n v="1946"/>
    <n v="20"/>
    <s v="&lt;25"/>
    <s v="Male"/>
    <n v="5"/>
    <x v="0"/>
    <x v="0"/>
    <x v="1"/>
    <x v="1"/>
  </r>
  <r>
    <n v="98"/>
    <s v="OnePlus 9"/>
    <s v="Android"/>
    <n v="516"/>
    <n v="12"/>
    <n v="2406"/>
    <n v="82"/>
    <n v="1968"/>
    <n v="28"/>
    <s v="25–40"/>
    <s v="Female"/>
    <n v="5"/>
    <x v="0"/>
    <x v="0"/>
    <x v="1"/>
    <x v="1"/>
  </r>
  <r>
    <n v="99"/>
    <s v="Google Pixel 5"/>
    <s v="Android"/>
    <n v="59"/>
    <n v="1.2"/>
    <n v="361"/>
    <n v="18"/>
    <n v="293"/>
    <n v="25"/>
    <s v="25–40"/>
    <s v="Female"/>
    <n v="1"/>
    <x v="1"/>
    <x v="2"/>
    <x v="0"/>
    <x v="0"/>
  </r>
  <r>
    <n v="100"/>
    <s v="OnePlus 9"/>
    <s v="Android"/>
    <n v="225"/>
    <n v="5.5"/>
    <n v="1526"/>
    <n v="44"/>
    <n v="875"/>
    <n v="50"/>
    <s v="40+"/>
    <s v="Female"/>
    <n v="3"/>
    <x v="0"/>
    <x v="0"/>
    <x v="0"/>
    <x v="0"/>
  </r>
  <r>
    <n v="101"/>
    <s v="Google Pixel 5"/>
    <s v="Android"/>
    <n v="41"/>
    <n v="1.1000000000000001"/>
    <n v="389"/>
    <n v="15"/>
    <n v="136"/>
    <n v="53"/>
    <s v="40+"/>
    <s v="Male"/>
    <n v="1"/>
    <x v="1"/>
    <x v="2"/>
    <x v="0"/>
    <x v="0"/>
  </r>
  <r>
    <n v="102"/>
    <s v="OnePlus 9"/>
    <s v="Android"/>
    <n v="183"/>
    <n v="4.0999999999999996"/>
    <n v="1210"/>
    <n v="45"/>
    <n v="738"/>
    <n v="19"/>
    <s v="&lt;25"/>
    <s v="Male"/>
    <n v="3"/>
    <x v="0"/>
    <x v="0"/>
    <x v="0"/>
    <x v="0"/>
  </r>
  <r>
    <n v="103"/>
    <s v="Google Pixel 5"/>
    <s v="Android"/>
    <n v="174"/>
    <n v="2.5"/>
    <n v="929"/>
    <n v="37"/>
    <n v="565"/>
    <n v="32"/>
    <s v="25–40"/>
    <s v="Female"/>
    <n v="2"/>
    <x v="0"/>
    <x v="1"/>
    <x v="0"/>
    <x v="0"/>
  </r>
  <r>
    <n v="104"/>
    <s v="Xiaomi Mi 11"/>
    <s v="Android"/>
    <n v="274"/>
    <n v="4.2"/>
    <n v="1781"/>
    <n v="52"/>
    <n v="934"/>
    <n v="28"/>
    <s v="25–40"/>
    <s v="Male"/>
    <n v="3"/>
    <x v="0"/>
    <x v="0"/>
    <x v="0"/>
    <x v="0"/>
  </r>
  <r>
    <n v="105"/>
    <s v="Xiaomi Mi 11"/>
    <s v="Android"/>
    <n v="166"/>
    <n v="2.8"/>
    <n v="1113"/>
    <n v="28"/>
    <n v="360"/>
    <n v="25"/>
    <s v="25–40"/>
    <s v="Male"/>
    <n v="2"/>
    <x v="0"/>
    <x v="1"/>
    <x v="0"/>
    <x v="0"/>
  </r>
  <r>
    <n v="106"/>
    <s v="Xiaomi Mi 11"/>
    <s v="Android"/>
    <n v="66"/>
    <n v="1.2"/>
    <n v="585"/>
    <n v="12"/>
    <n v="264"/>
    <n v="36"/>
    <s v="25–40"/>
    <s v="Male"/>
    <n v="1"/>
    <x v="0"/>
    <x v="1"/>
    <x v="0"/>
    <x v="0"/>
  </r>
  <r>
    <n v="107"/>
    <s v="Google Pixel 5"/>
    <s v="Android"/>
    <n v="152"/>
    <n v="2.7"/>
    <n v="642"/>
    <n v="38"/>
    <n v="596"/>
    <n v="55"/>
    <s v="40+"/>
    <s v="Male"/>
    <n v="2"/>
    <x v="0"/>
    <x v="1"/>
    <x v="0"/>
    <x v="0"/>
  </r>
  <r>
    <n v="108"/>
    <s v="Google Pixel 5"/>
    <s v="Android"/>
    <n v="54"/>
    <n v="1.4"/>
    <n v="403"/>
    <n v="17"/>
    <n v="278"/>
    <n v="23"/>
    <s v="&lt;25"/>
    <s v="Female"/>
    <n v="1"/>
    <x v="1"/>
    <x v="2"/>
    <x v="0"/>
    <x v="0"/>
  </r>
  <r>
    <n v="109"/>
    <s v="Xiaomi Mi 11"/>
    <s v="Android"/>
    <n v="187"/>
    <n v="5.5"/>
    <n v="1754"/>
    <n v="55"/>
    <n v="711"/>
    <n v="50"/>
    <s v="40+"/>
    <s v="Female"/>
    <n v="3"/>
    <x v="0"/>
    <x v="0"/>
    <x v="0"/>
    <x v="0"/>
  </r>
  <r>
    <n v="110"/>
    <s v="OnePlus 9"/>
    <s v="Android"/>
    <n v="216"/>
    <n v="6"/>
    <n v="1641"/>
    <n v="41"/>
    <n v="889"/>
    <n v="39"/>
    <s v="25–40"/>
    <s v="Female"/>
    <n v="3"/>
    <x v="0"/>
    <x v="0"/>
    <x v="0"/>
    <x v="0"/>
  </r>
  <r>
    <n v="111"/>
    <s v="OnePlus 9"/>
    <s v="Android"/>
    <n v="95"/>
    <n v="3.8"/>
    <n v="718"/>
    <n v="26"/>
    <n v="459"/>
    <n v="41"/>
    <s v="40+"/>
    <s v="Female"/>
    <n v="2"/>
    <x v="0"/>
    <x v="1"/>
    <x v="0"/>
    <x v="0"/>
  </r>
  <r>
    <n v="112"/>
    <s v="Xiaomi Mi 11"/>
    <s v="Android"/>
    <n v="488"/>
    <n v="8.6"/>
    <n v="2447"/>
    <n v="84"/>
    <n v="2344"/>
    <n v="19"/>
    <s v="&lt;25"/>
    <s v="Male"/>
    <n v="5"/>
    <x v="0"/>
    <x v="0"/>
    <x v="1"/>
    <x v="1"/>
  </r>
  <r>
    <n v="113"/>
    <s v="Google Pixel 5"/>
    <s v="Android"/>
    <n v="295"/>
    <n v="5.0999999999999996"/>
    <n v="1483"/>
    <n v="45"/>
    <n v="748"/>
    <n v="27"/>
    <s v="25–40"/>
    <s v="Female"/>
    <n v="3"/>
    <x v="0"/>
    <x v="0"/>
    <x v="0"/>
    <x v="0"/>
  </r>
  <r>
    <n v="114"/>
    <s v="Samsung Galaxy S21"/>
    <s v="Android"/>
    <n v="136"/>
    <n v="3.2"/>
    <n v="818"/>
    <n v="33"/>
    <n v="404"/>
    <n v="42"/>
    <s v="40+"/>
    <s v="Male"/>
    <n v="2"/>
    <x v="0"/>
    <x v="1"/>
    <x v="0"/>
    <x v="0"/>
  </r>
  <r>
    <n v="115"/>
    <s v="Xiaomi Mi 11"/>
    <s v="Android"/>
    <n v="471"/>
    <n v="7.9"/>
    <n v="2156"/>
    <n v="76"/>
    <n v="1324"/>
    <n v="54"/>
    <s v="40+"/>
    <s v="Female"/>
    <n v="4"/>
    <x v="0"/>
    <x v="0"/>
    <x v="0"/>
    <x v="0"/>
  </r>
  <r>
    <n v="116"/>
    <s v="iPhone 12"/>
    <s v="iOS"/>
    <n v="121"/>
    <n v="3.2"/>
    <n v="651"/>
    <n v="34"/>
    <n v="596"/>
    <n v="39"/>
    <s v="25–40"/>
    <s v="Male"/>
    <n v="2"/>
    <x v="0"/>
    <x v="1"/>
    <x v="0"/>
    <x v="0"/>
  </r>
  <r>
    <n v="117"/>
    <s v="iPhone 12"/>
    <s v="iOS"/>
    <n v="75"/>
    <n v="1.2"/>
    <n v="409"/>
    <n v="13"/>
    <n v="281"/>
    <n v="18"/>
    <s v="&lt;25"/>
    <s v="Male"/>
    <n v="1"/>
    <x v="0"/>
    <x v="1"/>
    <x v="0"/>
    <x v="0"/>
  </r>
  <r>
    <n v="118"/>
    <s v="iPhone 12"/>
    <s v="iOS"/>
    <n v="220"/>
    <n v="5.2"/>
    <n v="1631"/>
    <n v="49"/>
    <n v="909"/>
    <n v="27"/>
    <s v="25–40"/>
    <s v="Female"/>
    <n v="3"/>
    <x v="0"/>
    <x v="0"/>
    <x v="0"/>
    <x v="0"/>
  </r>
  <r>
    <n v="119"/>
    <s v="Samsung Galaxy S21"/>
    <s v="Android"/>
    <n v="82"/>
    <n v="1.6"/>
    <n v="590"/>
    <n v="13"/>
    <n v="124"/>
    <n v="28"/>
    <s v="25–40"/>
    <s v="Female"/>
    <n v="1"/>
    <x v="0"/>
    <x v="1"/>
    <x v="0"/>
    <x v="0"/>
  </r>
  <r>
    <n v="120"/>
    <s v="Google Pixel 5"/>
    <s v="Android"/>
    <n v="97"/>
    <n v="2.7"/>
    <n v="1018"/>
    <n v="37"/>
    <n v="428"/>
    <n v="41"/>
    <s v="40+"/>
    <s v="Male"/>
    <n v="2"/>
    <x v="0"/>
    <x v="1"/>
    <x v="0"/>
    <x v="0"/>
  </r>
  <r>
    <n v="121"/>
    <s v="Samsung Galaxy S21"/>
    <s v="Android"/>
    <n v="388"/>
    <n v="6.6"/>
    <n v="2085"/>
    <n v="71"/>
    <n v="1150"/>
    <n v="45"/>
    <s v="40+"/>
    <s v="Female"/>
    <n v="4"/>
    <x v="0"/>
    <x v="0"/>
    <x v="0"/>
    <x v="0"/>
  </r>
  <r>
    <n v="122"/>
    <s v="OnePlus 9"/>
    <s v="Android"/>
    <n v="529"/>
    <n v="8.6999999999999993"/>
    <n v="2484"/>
    <n v="89"/>
    <n v="2189"/>
    <n v="39"/>
    <s v="25–40"/>
    <s v="Female"/>
    <n v="5"/>
    <x v="0"/>
    <x v="0"/>
    <x v="1"/>
    <x v="1"/>
  </r>
  <r>
    <n v="123"/>
    <s v="Google Pixel 5"/>
    <s v="Android"/>
    <n v="584"/>
    <n v="10"/>
    <n v="2541"/>
    <n v="99"/>
    <n v="2391"/>
    <n v="49"/>
    <s v="40+"/>
    <s v="Female"/>
    <n v="5"/>
    <x v="0"/>
    <x v="0"/>
    <x v="1"/>
    <x v="1"/>
  </r>
  <r>
    <n v="124"/>
    <s v="Google Pixel 5"/>
    <s v="Android"/>
    <n v="529"/>
    <n v="8.1"/>
    <n v="2686"/>
    <n v="96"/>
    <n v="1924"/>
    <n v="35"/>
    <s v="25–40"/>
    <s v="Male"/>
    <n v="5"/>
    <x v="0"/>
    <x v="0"/>
    <x v="1"/>
    <x v="1"/>
  </r>
  <r>
    <n v="125"/>
    <s v="Google Pixel 5"/>
    <s v="Android"/>
    <n v="227"/>
    <n v="5.0999999999999996"/>
    <n v="1702"/>
    <n v="57"/>
    <n v="714"/>
    <n v="21"/>
    <s v="&lt;25"/>
    <s v="Male"/>
    <n v="3"/>
    <x v="0"/>
    <x v="0"/>
    <x v="0"/>
    <x v="0"/>
  </r>
  <r>
    <n v="126"/>
    <s v="Samsung Galaxy S21"/>
    <s v="Android"/>
    <n v="535"/>
    <n v="11.8"/>
    <n v="2858"/>
    <n v="99"/>
    <n v="2378"/>
    <n v="50"/>
    <s v="40+"/>
    <s v="Male"/>
    <n v="5"/>
    <x v="0"/>
    <x v="0"/>
    <x v="1"/>
    <x v="1"/>
  </r>
  <r>
    <n v="127"/>
    <s v="iPhone 12"/>
    <s v="iOS"/>
    <n v="332"/>
    <n v="7.4"/>
    <n v="2149"/>
    <n v="68"/>
    <n v="1321"/>
    <n v="20"/>
    <s v="&lt;25"/>
    <s v="Female"/>
    <n v="4"/>
    <x v="0"/>
    <x v="0"/>
    <x v="0"/>
    <x v="0"/>
  </r>
  <r>
    <n v="128"/>
    <s v="Google Pixel 5"/>
    <s v="Android"/>
    <n v="252"/>
    <n v="4.2"/>
    <n v="1439"/>
    <n v="45"/>
    <n v="667"/>
    <n v="50"/>
    <s v="40+"/>
    <s v="Female"/>
    <n v="3"/>
    <x v="0"/>
    <x v="0"/>
    <x v="0"/>
    <x v="0"/>
  </r>
  <r>
    <n v="129"/>
    <s v="Xiaomi Mi 11"/>
    <s v="Android"/>
    <n v="125"/>
    <n v="2.5"/>
    <n v="678"/>
    <n v="34"/>
    <n v="465"/>
    <n v="31"/>
    <s v="25–40"/>
    <s v="Male"/>
    <n v="2"/>
    <x v="0"/>
    <x v="1"/>
    <x v="0"/>
    <x v="0"/>
  </r>
  <r>
    <n v="130"/>
    <s v="Xiaomi Mi 11"/>
    <s v="Android"/>
    <n v="97"/>
    <n v="3.3"/>
    <n v="751"/>
    <n v="39"/>
    <n v="412"/>
    <n v="36"/>
    <s v="25–40"/>
    <s v="Female"/>
    <n v="2"/>
    <x v="0"/>
    <x v="1"/>
    <x v="0"/>
    <x v="0"/>
  </r>
  <r>
    <n v="131"/>
    <s v="Google Pixel 5"/>
    <s v="Android"/>
    <n v="540"/>
    <n v="10.8"/>
    <n v="2923"/>
    <n v="90"/>
    <n v="1886"/>
    <n v="40"/>
    <s v="25–40"/>
    <s v="Male"/>
    <n v="5"/>
    <x v="0"/>
    <x v="0"/>
    <x v="1"/>
    <x v="1"/>
  </r>
  <r>
    <n v="132"/>
    <s v="Xiaomi Mi 11"/>
    <s v="Android"/>
    <n v="320"/>
    <n v="7.2"/>
    <n v="2056"/>
    <n v="69"/>
    <n v="1226"/>
    <n v="52"/>
    <s v="40+"/>
    <s v="Female"/>
    <n v="4"/>
    <x v="0"/>
    <x v="0"/>
    <x v="0"/>
    <x v="0"/>
  </r>
  <r>
    <n v="133"/>
    <s v="Google Pixel 5"/>
    <s v="Android"/>
    <n v="176"/>
    <n v="3.6"/>
    <n v="1193"/>
    <n v="30"/>
    <n v="458"/>
    <n v="40"/>
    <s v="25–40"/>
    <s v="Female"/>
    <n v="2"/>
    <x v="0"/>
    <x v="1"/>
    <x v="0"/>
    <x v="0"/>
  </r>
  <r>
    <n v="134"/>
    <s v="Samsung Galaxy S21"/>
    <s v="Android"/>
    <n v="79"/>
    <n v="1"/>
    <n v="313"/>
    <n v="18"/>
    <n v="139"/>
    <n v="42"/>
    <s v="40+"/>
    <s v="Male"/>
    <n v="1"/>
    <x v="0"/>
    <x v="1"/>
    <x v="0"/>
    <x v="0"/>
  </r>
  <r>
    <n v="135"/>
    <s v="Xiaomi Mi 11"/>
    <s v="Android"/>
    <n v="83"/>
    <n v="1.6"/>
    <n v="303"/>
    <n v="19"/>
    <n v="285"/>
    <n v="51"/>
    <s v="40+"/>
    <s v="Male"/>
    <n v="1"/>
    <x v="0"/>
    <x v="1"/>
    <x v="0"/>
    <x v="0"/>
  </r>
  <r>
    <n v="136"/>
    <s v="iPhone 12"/>
    <s v="iOS"/>
    <n v="555"/>
    <n v="11.3"/>
    <n v="2528"/>
    <n v="90"/>
    <n v="1856"/>
    <n v="55"/>
    <s v="40+"/>
    <s v="Female"/>
    <n v="5"/>
    <x v="0"/>
    <x v="0"/>
    <x v="1"/>
    <x v="1"/>
  </r>
  <r>
    <n v="137"/>
    <s v="Samsung Galaxy S21"/>
    <s v="Android"/>
    <n v="66"/>
    <n v="1.7"/>
    <n v="375"/>
    <n v="16"/>
    <n v="216"/>
    <n v="39"/>
    <s v="25–40"/>
    <s v="Male"/>
    <n v="1"/>
    <x v="0"/>
    <x v="1"/>
    <x v="0"/>
    <x v="0"/>
  </r>
  <r>
    <n v="138"/>
    <s v="Xiaomi Mi 11"/>
    <s v="Android"/>
    <n v="237"/>
    <n v="4.5"/>
    <n v="1368"/>
    <n v="42"/>
    <n v="868"/>
    <n v="24"/>
    <s v="&lt;25"/>
    <s v="Female"/>
    <n v="3"/>
    <x v="0"/>
    <x v="0"/>
    <x v="0"/>
    <x v="0"/>
  </r>
  <r>
    <n v="139"/>
    <s v="Samsung Galaxy S21"/>
    <s v="Android"/>
    <n v="497"/>
    <n v="9.6999999999999993"/>
    <n v="2876"/>
    <n v="94"/>
    <n v="2076"/>
    <n v="18"/>
    <s v="&lt;25"/>
    <s v="Male"/>
    <n v="5"/>
    <x v="0"/>
    <x v="0"/>
    <x v="1"/>
    <x v="1"/>
  </r>
  <r>
    <n v="140"/>
    <s v="Google Pixel 5"/>
    <s v="Android"/>
    <n v="516"/>
    <n v="11.1"/>
    <n v="2429"/>
    <n v="91"/>
    <n v="1796"/>
    <n v="53"/>
    <s v="40+"/>
    <s v="Male"/>
    <n v="5"/>
    <x v="0"/>
    <x v="0"/>
    <x v="1"/>
    <x v="1"/>
  </r>
  <r>
    <n v="141"/>
    <s v="Xiaomi Mi 11"/>
    <s v="Android"/>
    <n v="219"/>
    <n v="5.2"/>
    <n v="1510"/>
    <n v="42"/>
    <n v="655"/>
    <n v="50"/>
    <s v="40+"/>
    <s v="Female"/>
    <n v="3"/>
    <x v="0"/>
    <x v="0"/>
    <x v="0"/>
    <x v="0"/>
  </r>
  <r>
    <n v="142"/>
    <s v="Google Pixel 5"/>
    <s v="Android"/>
    <n v="448"/>
    <n v="6.3"/>
    <n v="2044"/>
    <n v="71"/>
    <n v="1337"/>
    <n v="51"/>
    <s v="40+"/>
    <s v="Male"/>
    <n v="4"/>
    <x v="0"/>
    <x v="0"/>
    <x v="0"/>
    <x v="0"/>
  </r>
  <r>
    <n v="143"/>
    <s v="iPhone 12"/>
    <s v="iOS"/>
    <n v="156"/>
    <n v="2.2000000000000002"/>
    <n v="896"/>
    <n v="37"/>
    <n v="429"/>
    <n v="57"/>
    <s v="40+"/>
    <s v="Female"/>
    <n v="2"/>
    <x v="0"/>
    <x v="1"/>
    <x v="0"/>
    <x v="0"/>
  </r>
  <r>
    <n v="144"/>
    <s v="Samsung Galaxy S21"/>
    <s v="Android"/>
    <n v="68"/>
    <n v="1.1000000000000001"/>
    <n v="528"/>
    <n v="12"/>
    <n v="201"/>
    <n v="29"/>
    <s v="25–40"/>
    <s v="Male"/>
    <n v="1"/>
    <x v="0"/>
    <x v="1"/>
    <x v="0"/>
    <x v="0"/>
  </r>
  <r>
    <n v="145"/>
    <s v="iPhone 12"/>
    <s v="iOS"/>
    <n v="524"/>
    <n v="11.2"/>
    <n v="2417"/>
    <n v="90"/>
    <n v="2069"/>
    <n v="29"/>
    <s v="25–40"/>
    <s v="Female"/>
    <n v="5"/>
    <x v="0"/>
    <x v="0"/>
    <x v="1"/>
    <x v="1"/>
  </r>
  <r>
    <n v="146"/>
    <s v="iPhone 12"/>
    <s v="iOS"/>
    <n v="188"/>
    <n v="5.3"/>
    <n v="1281"/>
    <n v="45"/>
    <n v="974"/>
    <n v="35"/>
    <s v="25–40"/>
    <s v="Male"/>
    <n v="3"/>
    <x v="0"/>
    <x v="0"/>
    <x v="0"/>
    <x v="0"/>
  </r>
  <r>
    <n v="147"/>
    <s v="Samsung Galaxy S21"/>
    <s v="Android"/>
    <n v="443"/>
    <n v="7.4"/>
    <n v="2289"/>
    <n v="73"/>
    <n v="1026"/>
    <n v="33"/>
    <s v="25–40"/>
    <s v="Male"/>
    <n v="4"/>
    <x v="0"/>
    <x v="0"/>
    <x v="0"/>
    <x v="1"/>
  </r>
  <r>
    <n v="148"/>
    <s v="Xiaomi Mi 11"/>
    <s v="Android"/>
    <n v="52"/>
    <n v="1.6"/>
    <n v="385"/>
    <n v="19"/>
    <n v="234"/>
    <n v="24"/>
    <s v="&lt;25"/>
    <s v="Male"/>
    <n v="1"/>
    <x v="1"/>
    <x v="2"/>
    <x v="0"/>
    <x v="0"/>
  </r>
  <r>
    <n v="149"/>
    <s v="OnePlus 9"/>
    <s v="Android"/>
    <n v="228"/>
    <n v="4.2"/>
    <n v="1677"/>
    <n v="58"/>
    <n v="823"/>
    <n v="56"/>
    <s v="40+"/>
    <s v="Male"/>
    <n v="3"/>
    <x v="0"/>
    <x v="0"/>
    <x v="0"/>
    <x v="0"/>
  </r>
  <r>
    <n v="150"/>
    <s v="Google Pixel 5"/>
    <s v="Android"/>
    <n v="149"/>
    <n v="3.7"/>
    <n v="873"/>
    <n v="34"/>
    <n v="459"/>
    <n v="51"/>
    <s v="40+"/>
    <s v="Male"/>
    <n v="2"/>
    <x v="0"/>
    <x v="1"/>
    <x v="0"/>
    <x v="0"/>
  </r>
  <r>
    <n v="151"/>
    <s v="iPhone 12"/>
    <s v="iOS"/>
    <n v="523"/>
    <n v="9.4"/>
    <n v="2583"/>
    <n v="92"/>
    <n v="1539"/>
    <n v="21"/>
    <s v="&lt;25"/>
    <s v="Male"/>
    <n v="5"/>
    <x v="0"/>
    <x v="0"/>
    <x v="1"/>
    <x v="1"/>
  </r>
  <r>
    <n v="152"/>
    <s v="Samsung Galaxy S21"/>
    <s v="Android"/>
    <n v="42"/>
    <n v="1.6"/>
    <n v="315"/>
    <n v="19"/>
    <n v="207"/>
    <n v="52"/>
    <s v="40+"/>
    <s v="Female"/>
    <n v="1"/>
    <x v="1"/>
    <x v="2"/>
    <x v="0"/>
    <x v="0"/>
  </r>
  <r>
    <n v="153"/>
    <s v="Google Pixel 5"/>
    <s v="Android"/>
    <n v="120"/>
    <n v="2"/>
    <n v="741"/>
    <n v="38"/>
    <n v="396"/>
    <n v="56"/>
    <s v="40+"/>
    <s v="Female"/>
    <n v="2"/>
    <x v="0"/>
    <x v="1"/>
    <x v="0"/>
    <x v="0"/>
  </r>
  <r>
    <n v="154"/>
    <s v="OnePlus 9"/>
    <s v="Android"/>
    <n v="329"/>
    <n v="7.5"/>
    <n v="2277"/>
    <n v="72"/>
    <n v="1185"/>
    <n v="27"/>
    <s v="25–40"/>
    <s v="Female"/>
    <n v="4"/>
    <x v="0"/>
    <x v="0"/>
    <x v="0"/>
    <x v="1"/>
  </r>
  <r>
    <n v="155"/>
    <s v="Xiaomi Mi 11"/>
    <s v="Android"/>
    <n v="68"/>
    <n v="1.5"/>
    <n v="364"/>
    <n v="10"/>
    <n v="102"/>
    <n v="31"/>
    <s v="25–40"/>
    <s v="Female"/>
    <n v="1"/>
    <x v="0"/>
    <x v="1"/>
    <x v="0"/>
    <x v="0"/>
  </r>
  <r>
    <n v="156"/>
    <s v="Xiaomi Mi 11"/>
    <s v="Android"/>
    <n v="158"/>
    <n v="3.4"/>
    <n v="893"/>
    <n v="36"/>
    <n v="493"/>
    <n v="32"/>
    <s v="25–40"/>
    <s v="Male"/>
    <n v="2"/>
    <x v="0"/>
    <x v="1"/>
    <x v="0"/>
    <x v="0"/>
  </r>
  <r>
    <n v="157"/>
    <s v="Xiaomi Mi 11"/>
    <s v="Android"/>
    <n v="86"/>
    <n v="1.7"/>
    <n v="439"/>
    <n v="19"/>
    <n v="136"/>
    <n v="54"/>
    <s v="40+"/>
    <s v="Male"/>
    <n v="1"/>
    <x v="0"/>
    <x v="1"/>
    <x v="0"/>
    <x v="0"/>
  </r>
  <r>
    <n v="158"/>
    <s v="Xiaomi Mi 11"/>
    <s v="Android"/>
    <n v="339"/>
    <n v="7.8"/>
    <n v="2102"/>
    <n v="71"/>
    <n v="1062"/>
    <n v="51"/>
    <s v="40+"/>
    <s v="Male"/>
    <n v="4"/>
    <x v="0"/>
    <x v="0"/>
    <x v="0"/>
    <x v="0"/>
  </r>
  <r>
    <n v="159"/>
    <s v="Samsung Galaxy S21"/>
    <s v="Android"/>
    <n v="304"/>
    <n v="6.5"/>
    <n v="2375"/>
    <n v="79"/>
    <n v="1493"/>
    <n v="51"/>
    <s v="40+"/>
    <s v="Male"/>
    <n v="4"/>
    <x v="0"/>
    <x v="0"/>
    <x v="1"/>
    <x v="1"/>
  </r>
  <r>
    <n v="160"/>
    <s v="Xiaomi Mi 11"/>
    <s v="Android"/>
    <n v="131"/>
    <n v="2.4"/>
    <n v="859"/>
    <n v="26"/>
    <n v="305"/>
    <n v="40"/>
    <s v="25–40"/>
    <s v="Male"/>
    <n v="2"/>
    <x v="0"/>
    <x v="1"/>
    <x v="0"/>
    <x v="0"/>
  </r>
  <r>
    <n v="161"/>
    <s v="Samsung Galaxy S21"/>
    <s v="Android"/>
    <n v="64"/>
    <n v="1.6"/>
    <n v="540"/>
    <n v="19"/>
    <n v="262"/>
    <n v="35"/>
    <s v="25–40"/>
    <s v="Female"/>
    <n v="1"/>
    <x v="0"/>
    <x v="1"/>
    <x v="0"/>
    <x v="0"/>
  </r>
  <r>
    <n v="162"/>
    <s v="Xiaomi Mi 11"/>
    <s v="Android"/>
    <n v="53"/>
    <n v="1.9"/>
    <n v="526"/>
    <n v="15"/>
    <n v="112"/>
    <n v="42"/>
    <s v="40+"/>
    <s v="Male"/>
    <n v="1"/>
    <x v="1"/>
    <x v="2"/>
    <x v="0"/>
    <x v="0"/>
  </r>
  <r>
    <n v="163"/>
    <s v="Google Pixel 5"/>
    <s v="Android"/>
    <n v="442"/>
    <n v="7.7"/>
    <n v="2067"/>
    <n v="69"/>
    <n v="1440"/>
    <n v="45"/>
    <s v="40+"/>
    <s v="Male"/>
    <n v="4"/>
    <x v="0"/>
    <x v="0"/>
    <x v="1"/>
    <x v="0"/>
  </r>
  <r>
    <n v="164"/>
    <s v="iPhone 12"/>
    <s v="iOS"/>
    <n v="32"/>
    <n v="2"/>
    <n v="469"/>
    <n v="18"/>
    <n v="139"/>
    <n v="22"/>
    <s v="&lt;25"/>
    <s v="Male"/>
    <n v="1"/>
    <x v="1"/>
    <x v="2"/>
    <x v="0"/>
    <x v="0"/>
  </r>
  <r>
    <n v="165"/>
    <s v="Xiaomi Mi 11"/>
    <s v="Android"/>
    <n v="278"/>
    <n v="4.8"/>
    <n v="1238"/>
    <n v="48"/>
    <n v="851"/>
    <n v="43"/>
    <s v="40+"/>
    <s v="Female"/>
    <n v="3"/>
    <x v="0"/>
    <x v="0"/>
    <x v="0"/>
    <x v="0"/>
  </r>
  <r>
    <n v="166"/>
    <s v="Xiaomi Mi 11"/>
    <s v="Android"/>
    <n v="540"/>
    <n v="8.4"/>
    <n v="2993"/>
    <n v="98"/>
    <n v="1540"/>
    <n v="49"/>
    <s v="40+"/>
    <s v="Female"/>
    <n v="5"/>
    <x v="0"/>
    <x v="0"/>
    <x v="1"/>
    <x v="1"/>
  </r>
  <r>
    <n v="167"/>
    <s v="Google Pixel 5"/>
    <s v="Android"/>
    <n v="595"/>
    <n v="11.3"/>
    <n v="2968"/>
    <n v="88"/>
    <n v="2366"/>
    <n v="30"/>
    <s v="25–40"/>
    <s v="Male"/>
    <n v="5"/>
    <x v="0"/>
    <x v="0"/>
    <x v="1"/>
    <x v="1"/>
  </r>
  <r>
    <n v="168"/>
    <s v="Google Pixel 5"/>
    <s v="Android"/>
    <n v="35"/>
    <n v="1.5"/>
    <n v="467"/>
    <n v="10"/>
    <n v="158"/>
    <n v="58"/>
    <s v="40+"/>
    <s v="Male"/>
    <n v="1"/>
    <x v="1"/>
    <x v="2"/>
    <x v="0"/>
    <x v="0"/>
  </r>
  <r>
    <n v="169"/>
    <s v="Google Pixel 5"/>
    <s v="Android"/>
    <n v="225"/>
    <n v="5.4"/>
    <n v="1370"/>
    <n v="44"/>
    <n v="791"/>
    <n v="55"/>
    <s v="40+"/>
    <s v="Female"/>
    <n v="3"/>
    <x v="0"/>
    <x v="0"/>
    <x v="0"/>
    <x v="0"/>
  </r>
  <r>
    <n v="170"/>
    <s v="Google Pixel 5"/>
    <s v="Android"/>
    <n v="587"/>
    <n v="11.8"/>
    <n v="2431"/>
    <n v="90"/>
    <n v="1894"/>
    <n v="47"/>
    <s v="40+"/>
    <s v="Male"/>
    <n v="5"/>
    <x v="0"/>
    <x v="0"/>
    <x v="1"/>
    <x v="1"/>
  </r>
  <r>
    <n v="171"/>
    <s v="Xiaomi Mi 11"/>
    <s v="Android"/>
    <n v="92"/>
    <n v="3.7"/>
    <n v="1124"/>
    <n v="27"/>
    <n v="524"/>
    <n v="44"/>
    <s v="40+"/>
    <s v="Male"/>
    <n v="2"/>
    <x v="0"/>
    <x v="1"/>
    <x v="0"/>
    <x v="0"/>
  </r>
  <r>
    <n v="172"/>
    <s v="Google Pixel 5"/>
    <s v="Android"/>
    <n v="46"/>
    <n v="1.1000000000000001"/>
    <n v="487"/>
    <n v="17"/>
    <n v="208"/>
    <n v="23"/>
    <s v="&lt;25"/>
    <s v="Male"/>
    <n v="1"/>
    <x v="1"/>
    <x v="2"/>
    <x v="0"/>
    <x v="0"/>
  </r>
  <r>
    <n v="173"/>
    <s v="OnePlus 9"/>
    <s v="Android"/>
    <n v="153"/>
    <n v="2.8"/>
    <n v="935"/>
    <n v="25"/>
    <n v="578"/>
    <n v="37"/>
    <s v="25–40"/>
    <s v="Female"/>
    <n v="2"/>
    <x v="0"/>
    <x v="1"/>
    <x v="0"/>
    <x v="0"/>
  </r>
  <r>
    <n v="174"/>
    <s v="iPhone 12"/>
    <s v="iOS"/>
    <n v="368"/>
    <n v="6.6"/>
    <n v="1817"/>
    <n v="72"/>
    <n v="1406"/>
    <n v="27"/>
    <s v="25–40"/>
    <s v="Female"/>
    <n v="4"/>
    <x v="0"/>
    <x v="0"/>
    <x v="1"/>
    <x v="0"/>
  </r>
  <r>
    <n v="175"/>
    <s v="Xiaomi Mi 11"/>
    <s v="Android"/>
    <n v="51"/>
    <n v="1.6"/>
    <n v="509"/>
    <n v="11"/>
    <n v="113"/>
    <n v="29"/>
    <s v="25–40"/>
    <s v="Female"/>
    <n v="1"/>
    <x v="1"/>
    <x v="2"/>
    <x v="0"/>
    <x v="0"/>
  </r>
  <r>
    <n v="176"/>
    <s v="Google Pixel 5"/>
    <s v="Android"/>
    <n v="279"/>
    <n v="5.2"/>
    <n v="1660"/>
    <n v="47"/>
    <n v="629"/>
    <n v="50"/>
    <s v="40+"/>
    <s v="Female"/>
    <n v="3"/>
    <x v="0"/>
    <x v="0"/>
    <x v="0"/>
    <x v="0"/>
  </r>
  <r>
    <n v="177"/>
    <s v="Xiaomi Mi 11"/>
    <s v="Android"/>
    <n v="255"/>
    <n v="5.4"/>
    <n v="1738"/>
    <n v="42"/>
    <n v="826"/>
    <n v="21"/>
    <s v="&lt;25"/>
    <s v="Male"/>
    <n v="3"/>
    <x v="0"/>
    <x v="0"/>
    <x v="0"/>
    <x v="0"/>
  </r>
  <r>
    <n v="178"/>
    <s v="Samsung Galaxy S21"/>
    <s v="Android"/>
    <n v="193"/>
    <n v="5.7"/>
    <n v="1471"/>
    <n v="51"/>
    <n v="972"/>
    <n v="31"/>
    <s v="25–40"/>
    <s v="Female"/>
    <n v="3"/>
    <x v="0"/>
    <x v="0"/>
    <x v="0"/>
    <x v="0"/>
  </r>
  <r>
    <n v="179"/>
    <s v="Xiaomi Mi 11"/>
    <s v="Android"/>
    <n v="207"/>
    <n v="5.7"/>
    <n v="1582"/>
    <n v="52"/>
    <n v="692"/>
    <n v="38"/>
    <s v="25–40"/>
    <s v="Male"/>
    <n v="3"/>
    <x v="0"/>
    <x v="0"/>
    <x v="0"/>
    <x v="0"/>
  </r>
  <r>
    <n v="180"/>
    <s v="iPhone 12"/>
    <s v="iOS"/>
    <n v="539"/>
    <n v="11.9"/>
    <n v="2853"/>
    <n v="83"/>
    <n v="2007"/>
    <n v="55"/>
    <s v="40+"/>
    <s v="Male"/>
    <n v="5"/>
    <x v="0"/>
    <x v="0"/>
    <x v="1"/>
    <x v="1"/>
  </r>
  <r>
    <n v="181"/>
    <s v="OnePlus 9"/>
    <s v="Android"/>
    <n v="151"/>
    <n v="2.4"/>
    <n v="1124"/>
    <n v="38"/>
    <n v="571"/>
    <n v="33"/>
    <s v="25–40"/>
    <s v="Male"/>
    <n v="2"/>
    <x v="0"/>
    <x v="1"/>
    <x v="0"/>
    <x v="0"/>
  </r>
  <r>
    <n v="182"/>
    <s v="Google Pixel 5"/>
    <s v="Android"/>
    <n v="474"/>
    <n v="6.4"/>
    <n v="2109"/>
    <n v="68"/>
    <n v="1079"/>
    <n v="24"/>
    <s v="&lt;25"/>
    <s v="Male"/>
    <n v="4"/>
    <x v="0"/>
    <x v="0"/>
    <x v="0"/>
    <x v="0"/>
  </r>
  <r>
    <n v="183"/>
    <s v="iPhone 12"/>
    <s v="iOS"/>
    <n v="544"/>
    <n v="9.1999999999999993"/>
    <n v="2936"/>
    <n v="83"/>
    <n v="2416"/>
    <n v="47"/>
    <s v="40+"/>
    <s v="Female"/>
    <n v="5"/>
    <x v="0"/>
    <x v="0"/>
    <x v="1"/>
    <x v="1"/>
  </r>
  <r>
    <n v="184"/>
    <s v="iPhone 12"/>
    <s v="iOS"/>
    <n v="73"/>
    <n v="1.2"/>
    <n v="308"/>
    <n v="15"/>
    <n v="275"/>
    <n v="39"/>
    <s v="25–40"/>
    <s v="Female"/>
    <n v="1"/>
    <x v="0"/>
    <x v="1"/>
    <x v="0"/>
    <x v="0"/>
  </r>
  <r>
    <n v="185"/>
    <s v="Xiaomi Mi 11"/>
    <s v="Android"/>
    <n v="597"/>
    <n v="10.4"/>
    <n v="2984"/>
    <n v="91"/>
    <n v="1564"/>
    <n v="34"/>
    <s v="25–40"/>
    <s v="Female"/>
    <n v="5"/>
    <x v="0"/>
    <x v="0"/>
    <x v="1"/>
    <x v="1"/>
  </r>
  <r>
    <n v="186"/>
    <s v="Google Pixel 5"/>
    <s v="Android"/>
    <n v="498"/>
    <n v="10.7"/>
    <n v="2738"/>
    <n v="94"/>
    <n v="1995"/>
    <n v="42"/>
    <s v="40+"/>
    <s v="Male"/>
    <n v="5"/>
    <x v="0"/>
    <x v="0"/>
    <x v="1"/>
    <x v="1"/>
  </r>
  <r>
    <n v="187"/>
    <s v="iPhone 12"/>
    <s v="iOS"/>
    <n v="402"/>
    <n v="7.8"/>
    <n v="2014"/>
    <n v="79"/>
    <n v="1088"/>
    <n v="34"/>
    <s v="25–40"/>
    <s v="Female"/>
    <n v="4"/>
    <x v="0"/>
    <x v="0"/>
    <x v="0"/>
    <x v="0"/>
  </r>
  <r>
    <n v="188"/>
    <s v="OnePlus 9"/>
    <s v="Android"/>
    <n v="75"/>
    <n v="1.1000000000000001"/>
    <n v="379"/>
    <n v="15"/>
    <n v="185"/>
    <n v="37"/>
    <s v="25–40"/>
    <s v="Male"/>
    <n v="1"/>
    <x v="0"/>
    <x v="1"/>
    <x v="0"/>
    <x v="0"/>
  </r>
  <r>
    <n v="189"/>
    <s v="iPhone 12"/>
    <s v="iOS"/>
    <n v="130"/>
    <n v="2"/>
    <n v="602"/>
    <n v="21"/>
    <n v="589"/>
    <n v="30"/>
    <s v="25–40"/>
    <s v="Female"/>
    <n v="2"/>
    <x v="0"/>
    <x v="1"/>
    <x v="0"/>
    <x v="0"/>
  </r>
  <r>
    <n v="190"/>
    <s v="Samsung Galaxy S21"/>
    <s v="Android"/>
    <n v="42"/>
    <n v="1.1000000000000001"/>
    <n v="402"/>
    <n v="11"/>
    <n v="265"/>
    <n v="32"/>
    <s v="25–40"/>
    <s v="Female"/>
    <n v="1"/>
    <x v="1"/>
    <x v="2"/>
    <x v="0"/>
    <x v="0"/>
  </r>
  <r>
    <n v="191"/>
    <s v="iPhone 12"/>
    <s v="iOS"/>
    <n v="134"/>
    <n v="2.2000000000000002"/>
    <n v="917"/>
    <n v="23"/>
    <n v="423"/>
    <n v="23"/>
    <s v="&lt;25"/>
    <s v="Male"/>
    <n v="2"/>
    <x v="0"/>
    <x v="1"/>
    <x v="0"/>
    <x v="0"/>
  </r>
  <r>
    <n v="192"/>
    <s v="Google Pixel 5"/>
    <s v="Android"/>
    <n v="79"/>
    <n v="1.9"/>
    <n v="477"/>
    <n v="13"/>
    <n v="161"/>
    <n v="24"/>
    <s v="&lt;25"/>
    <s v="Male"/>
    <n v="1"/>
    <x v="0"/>
    <x v="1"/>
    <x v="0"/>
    <x v="0"/>
  </r>
  <r>
    <n v="193"/>
    <s v="iPhone 12"/>
    <s v="iOS"/>
    <n v="432"/>
    <n v="7.2"/>
    <n v="1822"/>
    <n v="63"/>
    <n v="1127"/>
    <n v="59"/>
    <s v="40+"/>
    <s v="Female"/>
    <n v="4"/>
    <x v="0"/>
    <x v="0"/>
    <x v="0"/>
    <x v="0"/>
  </r>
  <r>
    <n v="194"/>
    <s v="iPhone 12"/>
    <s v="iOS"/>
    <n v="262"/>
    <n v="4.0999999999999996"/>
    <n v="1287"/>
    <n v="52"/>
    <n v="997"/>
    <n v="36"/>
    <s v="25–40"/>
    <s v="Male"/>
    <n v="3"/>
    <x v="0"/>
    <x v="0"/>
    <x v="0"/>
    <x v="0"/>
  </r>
  <r>
    <n v="195"/>
    <s v="Samsung Galaxy S21"/>
    <s v="Android"/>
    <n v="473"/>
    <n v="6.4"/>
    <n v="2109"/>
    <n v="79"/>
    <n v="1300"/>
    <n v="23"/>
    <s v="&lt;25"/>
    <s v="Female"/>
    <n v="4"/>
    <x v="0"/>
    <x v="0"/>
    <x v="0"/>
    <x v="0"/>
  </r>
  <r>
    <n v="196"/>
    <s v="Google Pixel 5"/>
    <s v="Android"/>
    <n v="202"/>
    <n v="4.7"/>
    <n v="1512"/>
    <n v="49"/>
    <n v="659"/>
    <n v="45"/>
    <s v="40+"/>
    <s v="Female"/>
    <n v="3"/>
    <x v="0"/>
    <x v="0"/>
    <x v="0"/>
    <x v="0"/>
  </r>
  <r>
    <n v="197"/>
    <s v="OnePlus 9"/>
    <s v="Android"/>
    <n v="215"/>
    <n v="4.4000000000000004"/>
    <n v="1407"/>
    <n v="41"/>
    <n v="991"/>
    <n v="47"/>
    <s v="40+"/>
    <s v="Male"/>
    <n v="3"/>
    <x v="0"/>
    <x v="0"/>
    <x v="0"/>
    <x v="0"/>
  </r>
  <r>
    <n v="198"/>
    <s v="OnePlus 9"/>
    <s v="Android"/>
    <n v="151"/>
    <n v="3.7"/>
    <n v="1116"/>
    <n v="32"/>
    <n v="320"/>
    <n v="41"/>
    <s v="40+"/>
    <s v="Female"/>
    <n v="2"/>
    <x v="0"/>
    <x v="1"/>
    <x v="0"/>
    <x v="0"/>
  </r>
  <r>
    <n v="199"/>
    <s v="OnePlus 9"/>
    <s v="Android"/>
    <n v="80"/>
    <n v="1.6"/>
    <n v="549"/>
    <n v="14"/>
    <n v="197"/>
    <n v="19"/>
    <s v="&lt;25"/>
    <s v="Male"/>
    <n v="1"/>
    <x v="0"/>
    <x v="1"/>
    <x v="0"/>
    <x v="0"/>
  </r>
  <r>
    <n v="200"/>
    <s v="Xiaomi Mi 11"/>
    <s v="Android"/>
    <n v="126"/>
    <n v="2.8"/>
    <n v="971"/>
    <n v="32"/>
    <n v="431"/>
    <n v="35"/>
    <s v="25–40"/>
    <s v="Female"/>
    <n v="2"/>
    <x v="0"/>
    <x v="1"/>
    <x v="0"/>
    <x v="0"/>
  </r>
  <r>
    <n v="201"/>
    <s v="Samsung Galaxy S21"/>
    <s v="Android"/>
    <n v="495"/>
    <n v="8.9"/>
    <n v="2920"/>
    <n v="84"/>
    <n v="2252"/>
    <n v="31"/>
    <s v="25–40"/>
    <s v="Female"/>
    <n v="5"/>
    <x v="0"/>
    <x v="0"/>
    <x v="1"/>
    <x v="1"/>
  </r>
  <r>
    <n v="202"/>
    <s v="iPhone 12"/>
    <s v="iOS"/>
    <n v="127"/>
    <n v="3.7"/>
    <n v="1153"/>
    <n v="35"/>
    <n v="314"/>
    <n v="37"/>
    <s v="25–40"/>
    <s v="Female"/>
    <n v="2"/>
    <x v="0"/>
    <x v="1"/>
    <x v="0"/>
    <x v="0"/>
  </r>
  <r>
    <n v="203"/>
    <s v="Xiaomi Mi 11"/>
    <s v="Android"/>
    <n v="88"/>
    <n v="1.3"/>
    <n v="327"/>
    <n v="11"/>
    <n v="262"/>
    <n v="22"/>
    <s v="&lt;25"/>
    <s v="Male"/>
    <n v="1"/>
    <x v="0"/>
    <x v="1"/>
    <x v="0"/>
    <x v="0"/>
  </r>
  <r>
    <n v="204"/>
    <s v="Google Pixel 5"/>
    <s v="Android"/>
    <n v="69"/>
    <n v="1.6"/>
    <n v="463"/>
    <n v="16"/>
    <n v="146"/>
    <n v="27"/>
    <s v="25–40"/>
    <s v="Male"/>
    <n v="1"/>
    <x v="0"/>
    <x v="1"/>
    <x v="0"/>
    <x v="0"/>
  </r>
  <r>
    <n v="205"/>
    <s v="OnePlus 9"/>
    <s v="Android"/>
    <n v="100"/>
    <n v="3.3"/>
    <n v="961"/>
    <n v="21"/>
    <n v="433"/>
    <n v="25"/>
    <s v="25–40"/>
    <s v="Male"/>
    <n v="2"/>
    <x v="0"/>
    <x v="1"/>
    <x v="0"/>
    <x v="0"/>
  </r>
  <r>
    <n v="206"/>
    <s v="Xiaomi Mi 11"/>
    <s v="Android"/>
    <n v="301"/>
    <n v="6.5"/>
    <n v="2084"/>
    <n v="71"/>
    <n v="1421"/>
    <n v="29"/>
    <s v="25–40"/>
    <s v="Male"/>
    <n v="4"/>
    <x v="0"/>
    <x v="0"/>
    <x v="1"/>
    <x v="0"/>
  </r>
  <r>
    <n v="207"/>
    <s v="Google Pixel 5"/>
    <s v="Android"/>
    <n v="78"/>
    <n v="1.7"/>
    <n v="455"/>
    <n v="15"/>
    <n v="207"/>
    <n v="37"/>
    <s v="25–40"/>
    <s v="Female"/>
    <n v="1"/>
    <x v="0"/>
    <x v="1"/>
    <x v="0"/>
    <x v="0"/>
  </r>
  <r>
    <n v="208"/>
    <s v="Google Pixel 5"/>
    <s v="Android"/>
    <n v="163"/>
    <n v="3.1"/>
    <n v="620"/>
    <n v="21"/>
    <n v="419"/>
    <n v="23"/>
    <s v="&lt;25"/>
    <s v="Male"/>
    <n v="2"/>
    <x v="0"/>
    <x v="1"/>
    <x v="0"/>
    <x v="0"/>
  </r>
  <r>
    <n v="209"/>
    <s v="OnePlus 9"/>
    <s v="Android"/>
    <n v="539"/>
    <n v="9.3000000000000007"/>
    <n v="2606"/>
    <n v="92"/>
    <n v="1990"/>
    <n v="41"/>
    <s v="40+"/>
    <s v="Male"/>
    <n v="5"/>
    <x v="0"/>
    <x v="0"/>
    <x v="1"/>
    <x v="1"/>
  </r>
  <r>
    <n v="210"/>
    <s v="Google Pixel 5"/>
    <s v="Android"/>
    <n v="278"/>
    <n v="4.5999999999999996"/>
    <n v="1385"/>
    <n v="47"/>
    <n v="823"/>
    <n v="40"/>
    <s v="25–40"/>
    <s v="Female"/>
    <n v="3"/>
    <x v="0"/>
    <x v="0"/>
    <x v="0"/>
    <x v="0"/>
  </r>
  <r>
    <n v="211"/>
    <s v="Samsung Galaxy S21"/>
    <s v="Android"/>
    <n v="451"/>
    <n v="6.1"/>
    <n v="2108"/>
    <n v="76"/>
    <n v="1434"/>
    <n v="25"/>
    <s v="25–40"/>
    <s v="Female"/>
    <n v="4"/>
    <x v="0"/>
    <x v="0"/>
    <x v="1"/>
    <x v="0"/>
  </r>
  <r>
    <n v="212"/>
    <s v="Samsung Galaxy S21"/>
    <s v="Android"/>
    <n v="481"/>
    <n v="10.9"/>
    <n v="2752"/>
    <n v="86"/>
    <n v="2017"/>
    <n v="18"/>
    <s v="&lt;25"/>
    <s v="Male"/>
    <n v="5"/>
    <x v="0"/>
    <x v="0"/>
    <x v="1"/>
    <x v="1"/>
  </r>
  <r>
    <n v="213"/>
    <s v="Samsung Galaxy S21"/>
    <s v="Android"/>
    <n v="133"/>
    <n v="3.4"/>
    <n v="714"/>
    <n v="38"/>
    <n v="445"/>
    <n v="25"/>
    <s v="25–40"/>
    <s v="Male"/>
    <n v="2"/>
    <x v="0"/>
    <x v="1"/>
    <x v="0"/>
    <x v="0"/>
  </r>
  <r>
    <n v="214"/>
    <s v="Xiaomi Mi 11"/>
    <s v="Android"/>
    <n v="41"/>
    <n v="1.1000000000000001"/>
    <n v="588"/>
    <n v="10"/>
    <n v="246"/>
    <n v="22"/>
    <s v="&lt;25"/>
    <s v="Male"/>
    <n v="1"/>
    <x v="1"/>
    <x v="2"/>
    <x v="0"/>
    <x v="0"/>
  </r>
  <r>
    <n v="215"/>
    <s v="iPhone 12"/>
    <s v="iOS"/>
    <n v="152"/>
    <n v="3.3"/>
    <n v="1175"/>
    <n v="29"/>
    <n v="461"/>
    <n v="42"/>
    <s v="40+"/>
    <s v="Female"/>
    <n v="2"/>
    <x v="0"/>
    <x v="1"/>
    <x v="0"/>
    <x v="0"/>
  </r>
  <r>
    <n v="216"/>
    <s v="OnePlus 9"/>
    <s v="Android"/>
    <n v="553"/>
    <n v="8.4"/>
    <n v="2559"/>
    <n v="89"/>
    <n v="2471"/>
    <n v="51"/>
    <s v="40+"/>
    <s v="Male"/>
    <n v="5"/>
    <x v="0"/>
    <x v="0"/>
    <x v="1"/>
    <x v="1"/>
  </r>
  <r>
    <n v="217"/>
    <s v="iPhone 12"/>
    <s v="iOS"/>
    <n v="402"/>
    <n v="6.9"/>
    <n v="2282"/>
    <n v="78"/>
    <n v="1397"/>
    <n v="40"/>
    <s v="25–40"/>
    <s v="Male"/>
    <n v="4"/>
    <x v="0"/>
    <x v="0"/>
    <x v="1"/>
    <x v="1"/>
  </r>
  <r>
    <n v="218"/>
    <s v="OnePlus 9"/>
    <s v="Android"/>
    <n v="555"/>
    <n v="9.5"/>
    <n v="2855"/>
    <n v="95"/>
    <n v="1565"/>
    <n v="24"/>
    <s v="&lt;25"/>
    <s v="Male"/>
    <n v="5"/>
    <x v="0"/>
    <x v="0"/>
    <x v="1"/>
    <x v="1"/>
  </r>
  <r>
    <n v="219"/>
    <s v="iPhone 12"/>
    <s v="iOS"/>
    <n v="499"/>
    <n v="9.6"/>
    <n v="2873"/>
    <n v="81"/>
    <n v="1805"/>
    <n v="52"/>
    <s v="40+"/>
    <s v="Female"/>
    <n v="5"/>
    <x v="0"/>
    <x v="0"/>
    <x v="1"/>
    <x v="1"/>
  </r>
  <r>
    <n v="220"/>
    <s v="Xiaomi Mi 11"/>
    <s v="Android"/>
    <n v="101"/>
    <n v="3.2"/>
    <n v="603"/>
    <n v="28"/>
    <n v="417"/>
    <n v="43"/>
    <s v="40+"/>
    <s v="Male"/>
    <n v="2"/>
    <x v="0"/>
    <x v="1"/>
    <x v="0"/>
    <x v="0"/>
  </r>
  <r>
    <n v="221"/>
    <s v="OnePlus 9"/>
    <s v="Android"/>
    <n v="433"/>
    <n v="6.8"/>
    <n v="2093"/>
    <n v="75"/>
    <n v="1300"/>
    <n v="32"/>
    <s v="25–40"/>
    <s v="Male"/>
    <n v="4"/>
    <x v="0"/>
    <x v="0"/>
    <x v="0"/>
    <x v="0"/>
  </r>
  <r>
    <n v="222"/>
    <s v="OnePlus 9"/>
    <s v="Android"/>
    <n v="133"/>
    <n v="2"/>
    <n v="1007"/>
    <n v="31"/>
    <n v="417"/>
    <n v="32"/>
    <s v="25–40"/>
    <s v="Male"/>
    <n v="2"/>
    <x v="0"/>
    <x v="1"/>
    <x v="0"/>
    <x v="0"/>
  </r>
  <r>
    <n v="223"/>
    <s v="Xiaomi Mi 11"/>
    <s v="Android"/>
    <n v="351"/>
    <n v="6.1"/>
    <n v="1941"/>
    <n v="79"/>
    <n v="1290"/>
    <n v="21"/>
    <s v="&lt;25"/>
    <s v="Female"/>
    <n v="4"/>
    <x v="0"/>
    <x v="0"/>
    <x v="0"/>
    <x v="0"/>
  </r>
  <r>
    <n v="224"/>
    <s v="Samsung Galaxy S21"/>
    <s v="Android"/>
    <n v="532"/>
    <n v="10.7"/>
    <n v="2556"/>
    <n v="83"/>
    <n v="2148"/>
    <n v="53"/>
    <s v="40+"/>
    <s v="Female"/>
    <n v="5"/>
    <x v="0"/>
    <x v="0"/>
    <x v="1"/>
    <x v="1"/>
  </r>
  <r>
    <n v="225"/>
    <s v="OnePlus 9"/>
    <s v="Android"/>
    <n v="92"/>
    <n v="2.5"/>
    <n v="690"/>
    <n v="31"/>
    <n v="563"/>
    <n v="27"/>
    <s v="25–40"/>
    <s v="Male"/>
    <n v="2"/>
    <x v="0"/>
    <x v="1"/>
    <x v="0"/>
    <x v="0"/>
  </r>
  <r>
    <n v="226"/>
    <s v="Xiaomi Mi 11"/>
    <s v="Android"/>
    <n v="511"/>
    <n v="10.8"/>
    <n v="2712"/>
    <n v="97"/>
    <n v="2438"/>
    <n v="59"/>
    <s v="40+"/>
    <s v="Female"/>
    <n v="5"/>
    <x v="0"/>
    <x v="0"/>
    <x v="1"/>
    <x v="1"/>
  </r>
  <r>
    <n v="227"/>
    <s v="Xiaomi Mi 11"/>
    <s v="Android"/>
    <n v="384"/>
    <n v="7"/>
    <n v="2185"/>
    <n v="72"/>
    <n v="1376"/>
    <n v="59"/>
    <s v="40+"/>
    <s v="Male"/>
    <n v="4"/>
    <x v="0"/>
    <x v="0"/>
    <x v="1"/>
    <x v="0"/>
  </r>
  <r>
    <n v="228"/>
    <s v="iPhone 12"/>
    <s v="iOS"/>
    <n v="193"/>
    <n v="5.2"/>
    <n v="1318"/>
    <n v="49"/>
    <n v="626"/>
    <n v="32"/>
    <s v="25–40"/>
    <s v="Female"/>
    <n v="3"/>
    <x v="0"/>
    <x v="0"/>
    <x v="0"/>
    <x v="0"/>
  </r>
  <r>
    <n v="229"/>
    <s v="Samsung Galaxy S21"/>
    <s v="Android"/>
    <n v="132"/>
    <n v="3.8"/>
    <n v="649"/>
    <n v="25"/>
    <n v="368"/>
    <n v="41"/>
    <s v="40+"/>
    <s v="Male"/>
    <n v="2"/>
    <x v="0"/>
    <x v="1"/>
    <x v="0"/>
    <x v="0"/>
  </r>
  <r>
    <n v="230"/>
    <s v="Samsung Galaxy S21"/>
    <s v="Android"/>
    <n v="360"/>
    <n v="7.3"/>
    <n v="1946"/>
    <n v="79"/>
    <n v="1164"/>
    <n v="50"/>
    <s v="40+"/>
    <s v="Male"/>
    <n v="4"/>
    <x v="0"/>
    <x v="0"/>
    <x v="0"/>
    <x v="0"/>
  </r>
  <r>
    <n v="231"/>
    <s v="iPhone 12"/>
    <s v="iOS"/>
    <n v="159"/>
    <n v="2.2999999999999998"/>
    <n v="1083"/>
    <n v="32"/>
    <n v="526"/>
    <n v="38"/>
    <s v="25–40"/>
    <s v="Male"/>
    <n v="2"/>
    <x v="0"/>
    <x v="1"/>
    <x v="0"/>
    <x v="0"/>
  </r>
  <r>
    <n v="232"/>
    <s v="iPhone 12"/>
    <s v="iOS"/>
    <n v="495"/>
    <n v="8.9"/>
    <n v="2855"/>
    <n v="91"/>
    <n v="2150"/>
    <n v="31"/>
    <s v="25–40"/>
    <s v="Male"/>
    <n v="5"/>
    <x v="0"/>
    <x v="0"/>
    <x v="1"/>
    <x v="1"/>
  </r>
  <r>
    <n v="233"/>
    <s v="Xiaomi Mi 11"/>
    <s v="Android"/>
    <n v="537"/>
    <n v="10"/>
    <n v="2720"/>
    <n v="83"/>
    <n v="1763"/>
    <n v="35"/>
    <s v="25–40"/>
    <s v="Male"/>
    <n v="5"/>
    <x v="0"/>
    <x v="0"/>
    <x v="1"/>
    <x v="1"/>
  </r>
  <r>
    <n v="234"/>
    <s v="OnePlus 9"/>
    <s v="Android"/>
    <n v="129"/>
    <n v="3.4"/>
    <n v="1059"/>
    <n v="27"/>
    <n v="580"/>
    <n v="36"/>
    <s v="25–40"/>
    <s v="Female"/>
    <n v="2"/>
    <x v="0"/>
    <x v="1"/>
    <x v="0"/>
    <x v="0"/>
  </r>
  <r>
    <n v="235"/>
    <s v="iPhone 12"/>
    <s v="iOS"/>
    <n v="132"/>
    <n v="3.8"/>
    <n v="636"/>
    <n v="28"/>
    <n v="529"/>
    <n v="53"/>
    <s v="40+"/>
    <s v="Male"/>
    <n v="2"/>
    <x v="0"/>
    <x v="1"/>
    <x v="0"/>
    <x v="0"/>
  </r>
  <r>
    <n v="236"/>
    <s v="Xiaomi Mi 11"/>
    <s v="Android"/>
    <n v="37"/>
    <n v="1.4"/>
    <n v="369"/>
    <n v="18"/>
    <n v="295"/>
    <n v="19"/>
    <s v="&lt;25"/>
    <s v="Female"/>
    <n v="1"/>
    <x v="1"/>
    <x v="2"/>
    <x v="0"/>
    <x v="0"/>
  </r>
  <r>
    <n v="237"/>
    <s v="Samsung Galaxy S21"/>
    <s v="Android"/>
    <n v="524"/>
    <n v="8.9"/>
    <n v="2549"/>
    <n v="88"/>
    <n v="1730"/>
    <n v="20"/>
    <s v="&lt;25"/>
    <s v="Female"/>
    <n v="5"/>
    <x v="0"/>
    <x v="0"/>
    <x v="1"/>
    <x v="1"/>
  </r>
  <r>
    <n v="238"/>
    <s v="OnePlus 9"/>
    <s v="Android"/>
    <n v="425"/>
    <n v="6.9"/>
    <n v="2142"/>
    <n v="66"/>
    <n v="1130"/>
    <n v="19"/>
    <s v="&lt;25"/>
    <s v="Female"/>
    <n v="4"/>
    <x v="0"/>
    <x v="0"/>
    <x v="0"/>
    <x v="0"/>
  </r>
  <r>
    <n v="239"/>
    <s v="OnePlus 9"/>
    <s v="Android"/>
    <n v="64"/>
    <n v="1.7"/>
    <n v="585"/>
    <n v="13"/>
    <n v="107"/>
    <n v="53"/>
    <s v="40+"/>
    <s v="Male"/>
    <n v="1"/>
    <x v="0"/>
    <x v="1"/>
    <x v="0"/>
    <x v="0"/>
  </r>
  <r>
    <n v="240"/>
    <s v="iPhone 12"/>
    <s v="iOS"/>
    <n v="573"/>
    <n v="10.8"/>
    <n v="2711"/>
    <n v="96"/>
    <n v="2118"/>
    <n v="33"/>
    <s v="25–40"/>
    <s v="Female"/>
    <n v="5"/>
    <x v="0"/>
    <x v="0"/>
    <x v="1"/>
    <x v="1"/>
  </r>
  <r>
    <n v="241"/>
    <s v="Google Pixel 5"/>
    <s v="Android"/>
    <n v="45"/>
    <n v="1.7"/>
    <n v="302"/>
    <n v="16"/>
    <n v="191"/>
    <n v="57"/>
    <s v="40+"/>
    <s v="Female"/>
    <n v="1"/>
    <x v="1"/>
    <x v="2"/>
    <x v="0"/>
    <x v="0"/>
  </r>
  <r>
    <n v="242"/>
    <s v="Xiaomi Mi 11"/>
    <s v="Android"/>
    <n v="564"/>
    <n v="11.7"/>
    <n v="2764"/>
    <n v="81"/>
    <n v="2133"/>
    <n v="37"/>
    <s v="25–40"/>
    <s v="Female"/>
    <n v="5"/>
    <x v="0"/>
    <x v="0"/>
    <x v="1"/>
    <x v="1"/>
  </r>
  <r>
    <n v="243"/>
    <s v="OnePlus 9"/>
    <s v="Android"/>
    <n v="162"/>
    <n v="3.5"/>
    <n v="761"/>
    <n v="36"/>
    <n v="338"/>
    <n v="51"/>
    <s v="40+"/>
    <s v="Male"/>
    <n v="2"/>
    <x v="0"/>
    <x v="1"/>
    <x v="0"/>
    <x v="0"/>
  </r>
  <r>
    <n v="244"/>
    <s v="Samsung Galaxy S21"/>
    <s v="Android"/>
    <n v="451"/>
    <n v="6.5"/>
    <n v="2378"/>
    <n v="69"/>
    <n v="1341"/>
    <n v="44"/>
    <s v="40+"/>
    <s v="Male"/>
    <n v="4"/>
    <x v="0"/>
    <x v="0"/>
    <x v="1"/>
    <x v="1"/>
  </r>
  <r>
    <n v="245"/>
    <s v="OnePlus 9"/>
    <s v="Android"/>
    <n v="30"/>
    <n v="1.3"/>
    <n v="479"/>
    <n v="16"/>
    <n v="253"/>
    <n v="35"/>
    <s v="25–40"/>
    <s v="Male"/>
    <n v="1"/>
    <x v="1"/>
    <x v="2"/>
    <x v="0"/>
    <x v="0"/>
  </r>
  <r>
    <n v="246"/>
    <s v="Samsung Galaxy S21"/>
    <s v="Android"/>
    <n v="202"/>
    <n v="5"/>
    <n v="1542"/>
    <n v="45"/>
    <n v="844"/>
    <n v="29"/>
    <s v="25–40"/>
    <s v="Male"/>
    <n v="3"/>
    <x v="0"/>
    <x v="0"/>
    <x v="0"/>
    <x v="0"/>
  </r>
  <r>
    <n v="247"/>
    <s v="Google Pixel 5"/>
    <s v="Android"/>
    <n v="71"/>
    <n v="1.5"/>
    <n v="590"/>
    <n v="17"/>
    <n v="257"/>
    <n v="33"/>
    <s v="25–40"/>
    <s v="Male"/>
    <n v="1"/>
    <x v="0"/>
    <x v="1"/>
    <x v="0"/>
    <x v="0"/>
  </r>
  <r>
    <n v="248"/>
    <s v="Google Pixel 5"/>
    <s v="Android"/>
    <n v="314"/>
    <n v="6.2"/>
    <n v="2205"/>
    <n v="63"/>
    <n v="1066"/>
    <n v="19"/>
    <s v="&lt;25"/>
    <s v="Male"/>
    <n v="4"/>
    <x v="0"/>
    <x v="0"/>
    <x v="0"/>
    <x v="0"/>
  </r>
  <r>
    <n v="249"/>
    <s v="Xiaomi Mi 11"/>
    <s v="Android"/>
    <n v="168"/>
    <n v="4"/>
    <n v="866"/>
    <n v="22"/>
    <n v="581"/>
    <n v="50"/>
    <s v="40+"/>
    <s v="Female"/>
    <n v="2"/>
    <x v="0"/>
    <x v="1"/>
    <x v="0"/>
    <x v="0"/>
  </r>
  <r>
    <n v="250"/>
    <s v="Google Pixel 5"/>
    <s v="Android"/>
    <n v="75"/>
    <n v="1.9"/>
    <n v="537"/>
    <n v="13"/>
    <n v="230"/>
    <n v="58"/>
    <s v="40+"/>
    <s v="Female"/>
    <n v="1"/>
    <x v="0"/>
    <x v="1"/>
    <x v="0"/>
    <x v="0"/>
  </r>
  <r>
    <n v="251"/>
    <s v="OnePlus 9"/>
    <s v="Android"/>
    <n v="42"/>
    <n v="1.4"/>
    <n v="324"/>
    <n v="13"/>
    <n v="272"/>
    <n v="29"/>
    <s v="25–40"/>
    <s v="Female"/>
    <n v="1"/>
    <x v="1"/>
    <x v="2"/>
    <x v="0"/>
    <x v="0"/>
  </r>
  <r>
    <n v="252"/>
    <s v="OnePlus 9"/>
    <s v="Android"/>
    <n v="441"/>
    <n v="7.9"/>
    <n v="2332"/>
    <n v="78"/>
    <n v="1477"/>
    <n v="23"/>
    <s v="&lt;25"/>
    <s v="Female"/>
    <n v="4"/>
    <x v="0"/>
    <x v="0"/>
    <x v="1"/>
    <x v="1"/>
  </r>
  <r>
    <n v="253"/>
    <s v="Google Pixel 5"/>
    <s v="Android"/>
    <n v="523"/>
    <n v="10.5"/>
    <n v="2460"/>
    <n v="99"/>
    <n v="1787"/>
    <n v="22"/>
    <s v="&lt;25"/>
    <s v="Male"/>
    <n v="5"/>
    <x v="0"/>
    <x v="0"/>
    <x v="1"/>
    <x v="1"/>
  </r>
  <r>
    <n v="254"/>
    <s v="Xiaomi Mi 11"/>
    <s v="Android"/>
    <n v="100"/>
    <n v="2.4"/>
    <n v="982"/>
    <n v="31"/>
    <n v="478"/>
    <n v="48"/>
    <s v="40+"/>
    <s v="Female"/>
    <n v="2"/>
    <x v="0"/>
    <x v="1"/>
    <x v="0"/>
    <x v="0"/>
  </r>
  <r>
    <n v="255"/>
    <s v="OnePlus 9"/>
    <s v="Android"/>
    <n v="52"/>
    <n v="1.2"/>
    <n v="398"/>
    <n v="14"/>
    <n v="172"/>
    <n v="24"/>
    <s v="&lt;25"/>
    <s v="Female"/>
    <n v="1"/>
    <x v="1"/>
    <x v="2"/>
    <x v="0"/>
    <x v="0"/>
  </r>
  <r>
    <n v="256"/>
    <s v="OnePlus 9"/>
    <s v="Android"/>
    <n v="397"/>
    <n v="7"/>
    <n v="2352"/>
    <n v="77"/>
    <n v="1101"/>
    <n v="46"/>
    <s v="40+"/>
    <s v="Female"/>
    <n v="4"/>
    <x v="0"/>
    <x v="0"/>
    <x v="0"/>
    <x v="1"/>
  </r>
  <r>
    <n v="257"/>
    <s v="Xiaomi Mi 11"/>
    <s v="Android"/>
    <n v="424"/>
    <n v="7.7"/>
    <n v="1863"/>
    <n v="65"/>
    <n v="1116"/>
    <n v="52"/>
    <s v="40+"/>
    <s v="Male"/>
    <n v="4"/>
    <x v="0"/>
    <x v="0"/>
    <x v="0"/>
    <x v="0"/>
  </r>
  <r>
    <n v="258"/>
    <s v="Xiaomi Mi 11"/>
    <s v="Android"/>
    <n v="272"/>
    <n v="5"/>
    <n v="1655"/>
    <n v="45"/>
    <n v="686"/>
    <n v="19"/>
    <s v="&lt;25"/>
    <s v="Female"/>
    <n v="3"/>
    <x v="0"/>
    <x v="0"/>
    <x v="0"/>
    <x v="0"/>
  </r>
  <r>
    <n v="259"/>
    <s v="Xiaomi Mi 11"/>
    <s v="Android"/>
    <n v="201"/>
    <n v="4"/>
    <n v="1791"/>
    <n v="50"/>
    <n v="914"/>
    <n v="18"/>
    <s v="&lt;25"/>
    <s v="Male"/>
    <n v="3"/>
    <x v="0"/>
    <x v="0"/>
    <x v="0"/>
    <x v="0"/>
  </r>
  <r>
    <n v="260"/>
    <s v="Xiaomi Mi 11"/>
    <s v="Android"/>
    <n v="570"/>
    <n v="9"/>
    <n v="2613"/>
    <n v="98"/>
    <n v="2497"/>
    <n v="49"/>
    <s v="40+"/>
    <s v="Female"/>
    <n v="5"/>
    <x v="0"/>
    <x v="0"/>
    <x v="1"/>
    <x v="1"/>
  </r>
  <r>
    <n v="261"/>
    <s v="Xiaomi Mi 11"/>
    <s v="Android"/>
    <n v="64"/>
    <n v="1.3"/>
    <n v="490"/>
    <n v="14"/>
    <n v="151"/>
    <n v="43"/>
    <s v="40+"/>
    <s v="Female"/>
    <n v="1"/>
    <x v="0"/>
    <x v="1"/>
    <x v="0"/>
    <x v="0"/>
  </r>
  <r>
    <n v="262"/>
    <s v="iPhone 12"/>
    <s v="iOS"/>
    <n v="334"/>
    <n v="6.6"/>
    <n v="2394"/>
    <n v="68"/>
    <n v="1227"/>
    <n v="46"/>
    <s v="40+"/>
    <s v="Female"/>
    <n v="4"/>
    <x v="0"/>
    <x v="0"/>
    <x v="0"/>
    <x v="1"/>
  </r>
  <r>
    <n v="263"/>
    <s v="iPhone 12"/>
    <s v="iOS"/>
    <n v="518"/>
    <n v="9.6"/>
    <n v="2954"/>
    <n v="93"/>
    <n v="2125"/>
    <n v="34"/>
    <s v="25–40"/>
    <s v="Female"/>
    <n v="5"/>
    <x v="0"/>
    <x v="0"/>
    <x v="1"/>
    <x v="1"/>
  </r>
  <r>
    <n v="264"/>
    <s v="Samsung Galaxy S21"/>
    <s v="Android"/>
    <n v="70"/>
    <n v="1.7"/>
    <n v="359"/>
    <n v="10"/>
    <n v="109"/>
    <n v="57"/>
    <s v="40+"/>
    <s v="Male"/>
    <n v="1"/>
    <x v="0"/>
    <x v="1"/>
    <x v="0"/>
    <x v="0"/>
  </r>
  <r>
    <n v="265"/>
    <s v="iPhone 12"/>
    <s v="iOS"/>
    <n v="334"/>
    <n v="6.8"/>
    <n v="2000"/>
    <n v="77"/>
    <n v="1079"/>
    <n v="40"/>
    <s v="25–40"/>
    <s v="Female"/>
    <n v="4"/>
    <x v="0"/>
    <x v="0"/>
    <x v="0"/>
    <x v="0"/>
  </r>
  <r>
    <n v="266"/>
    <s v="Xiaomi Mi 11"/>
    <s v="Android"/>
    <n v="563"/>
    <n v="8.4"/>
    <n v="2849"/>
    <n v="85"/>
    <n v="1508"/>
    <n v="25"/>
    <s v="25–40"/>
    <s v="Male"/>
    <n v="5"/>
    <x v="0"/>
    <x v="0"/>
    <x v="1"/>
    <x v="1"/>
  </r>
  <r>
    <n v="267"/>
    <s v="iPhone 12"/>
    <s v="iOS"/>
    <n v="181"/>
    <n v="4.0999999999999996"/>
    <n v="1608"/>
    <n v="43"/>
    <n v="752"/>
    <n v="22"/>
    <s v="&lt;25"/>
    <s v="Female"/>
    <n v="3"/>
    <x v="0"/>
    <x v="0"/>
    <x v="0"/>
    <x v="0"/>
  </r>
  <r>
    <n v="268"/>
    <s v="OnePlus 9"/>
    <s v="Android"/>
    <n v="584"/>
    <n v="9.4"/>
    <n v="2766"/>
    <n v="84"/>
    <n v="2151"/>
    <n v="32"/>
    <s v="25–40"/>
    <s v="Male"/>
    <n v="5"/>
    <x v="0"/>
    <x v="0"/>
    <x v="1"/>
    <x v="1"/>
  </r>
  <r>
    <n v="269"/>
    <s v="Samsung Galaxy S21"/>
    <s v="Android"/>
    <n v="208"/>
    <n v="4.7"/>
    <n v="1642"/>
    <n v="45"/>
    <n v="861"/>
    <n v="55"/>
    <s v="40+"/>
    <s v="Male"/>
    <n v="3"/>
    <x v="0"/>
    <x v="0"/>
    <x v="0"/>
    <x v="0"/>
  </r>
  <r>
    <n v="270"/>
    <s v="Samsung Galaxy S21"/>
    <s v="Android"/>
    <n v="381"/>
    <n v="6.6"/>
    <n v="2160"/>
    <n v="69"/>
    <n v="1450"/>
    <n v="20"/>
    <s v="&lt;25"/>
    <s v="Male"/>
    <n v="4"/>
    <x v="0"/>
    <x v="0"/>
    <x v="1"/>
    <x v="0"/>
  </r>
  <r>
    <n v="271"/>
    <s v="Xiaomi Mi 11"/>
    <s v="Android"/>
    <n v="426"/>
    <n v="6.5"/>
    <n v="1969"/>
    <n v="78"/>
    <n v="1266"/>
    <n v="53"/>
    <s v="40+"/>
    <s v="Female"/>
    <n v="4"/>
    <x v="0"/>
    <x v="0"/>
    <x v="0"/>
    <x v="0"/>
  </r>
  <r>
    <n v="272"/>
    <s v="OnePlus 9"/>
    <s v="Android"/>
    <n v="284"/>
    <n v="4.2"/>
    <n v="1360"/>
    <n v="56"/>
    <n v="888"/>
    <n v="51"/>
    <s v="40+"/>
    <s v="Male"/>
    <n v="3"/>
    <x v="0"/>
    <x v="0"/>
    <x v="0"/>
    <x v="0"/>
  </r>
  <r>
    <n v="273"/>
    <s v="Google Pixel 5"/>
    <s v="Android"/>
    <n v="105"/>
    <n v="2.2000000000000002"/>
    <n v="1002"/>
    <n v="29"/>
    <n v="453"/>
    <n v="31"/>
    <s v="25–40"/>
    <s v="Female"/>
    <n v="2"/>
    <x v="0"/>
    <x v="1"/>
    <x v="0"/>
    <x v="0"/>
  </r>
  <r>
    <n v="274"/>
    <s v="Google Pixel 5"/>
    <s v="Android"/>
    <n v="179"/>
    <n v="2.2999999999999998"/>
    <n v="1014"/>
    <n v="32"/>
    <n v="588"/>
    <n v="38"/>
    <s v="25–40"/>
    <s v="Male"/>
    <n v="2"/>
    <x v="0"/>
    <x v="1"/>
    <x v="0"/>
    <x v="0"/>
  </r>
  <r>
    <n v="275"/>
    <s v="iPhone 12"/>
    <s v="iOS"/>
    <n v="122"/>
    <n v="2.6"/>
    <n v="639"/>
    <n v="37"/>
    <n v="568"/>
    <n v="35"/>
    <s v="25–40"/>
    <s v="Male"/>
    <n v="2"/>
    <x v="0"/>
    <x v="1"/>
    <x v="0"/>
    <x v="0"/>
  </r>
  <r>
    <n v="276"/>
    <s v="OnePlus 9"/>
    <s v="Android"/>
    <n v="501"/>
    <n v="11.9"/>
    <n v="2702"/>
    <n v="88"/>
    <n v="1738"/>
    <n v="49"/>
    <s v="40+"/>
    <s v="Male"/>
    <n v="5"/>
    <x v="0"/>
    <x v="0"/>
    <x v="1"/>
    <x v="1"/>
  </r>
  <r>
    <n v="277"/>
    <s v="Xiaomi Mi 11"/>
    <s v="Android"/>
    <n v="269"/>
    <n v="5.9"/>
    <n v="1666"/>
    <n v="42"/>
    <n v="629"/>
    <n v="32"/>
    <s v="25–40"/>
    <s v="Female"/>
    <n v="3"/>
    <x v="0"/>
    <x v="0"/>
    <x v="0"/>
    <x v="0"/>
  </r>
  <r>
    <n v="278"/>
    <s v="Google Pixel 5"/>
    <s v="Android"/>
    <n v="230"/>
    <n v="4.4000000000000004"/>
    <n v="1607"/>
    <n v="52"/>
    <n v="878"/>
    <n v="54"/>
    <s v="40+"/>
    <s v="Male"/>
    <n v="3"/>
    <x v="0"/>
    <x v="0"/>
    <x v="0"/>
    <x v="0"/>
  </r>
  <r>
    <n v="279"/>
    <s v="Xiaomi Mi 11"/>
    <s v="Android"/>
    <n v="85"/>
    <n v="1.6"/>
    <n v="417"/>
    <n v="12"/>
    <n v="122"/>
    <n v="47"/>
    <s v="40+"/>
    <s v="Male"/>
    <n v="1"/>
    <x v="0"/>
    <x v="1"/>
    <x v="0"/>
    <x v="0"/>
  </r>
  <r>
    <n v="280"/>
    <s v="Samsung Galaxy S21"/>
    <s v="Android"/>
    <n v="411"/>
    <n v="7.8"/>
    <n v="2029"/>
    <n v="75"/>
    <n v="1136"/>
    <n v="33"/>
    <s v="25–40"/>
    <s v="Female"/>
    <n v="4"/>
    <x v="0"/>
    <x v="0"/>
    <x v="0"/>
    <x v="0"/>
  </r>
  <r>
    <n v="281"/>
    <s v="Samsung Galaxy S21"/>
    <s v="Android"/>
    <n v="73"/>
    <n v="1.7"/>
    <n v="403"/>
    <n v="12"/>
    <n v="163"/>
    <n v="51"/>
    <s v="40+"/>
    <s v="Male"/>
    <n v="1"/>
    <x v="0"/>
    <x v="1"/>
    <x v="0"/>
    <x v="0"/>
  </r>
  <r>
    <n v="282"/>
    <s v="Xiaomi Mi 11"/>
    <s v="Android"/>
    <n v="39"/>
    <n v="1.7"/>
    <n v="530"/>
    <n v="11"/>
    <n v="268"/>
    <n v="26"/>
    <s v="25–40"/>
    <s v="Female"/>
    <n v="1"/>
    <x v="1"/>
    <x v="2"/>
    <x v="0"/>
    <x v="0"/>
  </r>
  <r>
    <n v="283"/>
    <s v="iPhone 12"/>
    <s v="iOS"/>
    <n v="386"/>
    <n v="7.7"/>
    <n v="2114"/>
    <n v="72"/>
    <n v="1209"/>
    <n v="51"/>
    <s v="40+"/>
    <s v="Male"/>
    <n v="4"/>
    <x v="0"/>
    <x v="0"/>
    <x v="0"/>
    <x v="0"/>
  </r>
  <r>
    <n v="284"/>
    <s v="Google Pixel 5"/>
    <s v="Android"/>
    <n v="49"/>
    <n v="1.3"/>
    <n v="542"/>
    <n v="16"/>
    <n v="169"/>
    <n v="54"/>
    <s v="40+"/>
    <s v="Female"/>
    <n v="1"/>
    <x v="1"/>
    <x v="2"/>
    <x v="0"/>
    <x v="0"/>
  </r>
  <r>
    <n v="285"/>
    <s v="Google Pixel 5"/>
    <s v="Android"/>
    <n v="411"/>
    <n v="6.9"/>
    <n v="1820"/>
    <n v="70"/>
    <n v="1024"/>
    <n v="43"/>
    <s v="40+"/>
    <s v="Male"/>
    <n v="4"/>
    <x v="0"/>
    <x v="0"/>
    <x v="0"/>
    <x v="0"/>
  </r>
  <r>
    <n v="286"/>
    <s v="OnePlus 9"/>
    <s v="Android"/>
    <n v="534"/>
    <n v="10.8"/>
    <n v="2805"/>
    <n v="90"/>
    <n v="1538"/>
    <n v="37"/>
    <s v="25–40"/>
    <s v="Male"/>
    <n v="5"/>
    <x v="0"/>
    <x v="0"/>
    <x v="1"/>
    <x v="1"/>
  </r>
  <r>
    <n v="287"/>
    <s v="Samsung Galaxy S21"/>
    <s v="Android"/>
    <n v="314"/>
    <n v="7.4"/>
    <n v="2136"/>
    <n v="64"/>
    <n v="1376"/>
    <n v="47"/>
    <s v="40+"/>
    <s v="Female"/>
    <n v="4"/>
    <x v="0"/>
    <x v="0"/>
    <x v="1"/>
    <x v="0"/>
  </r>
  <r>
    <n v="288"/>
    <s v="Xiaomi Mi 11"/>
    <s v="Android"/>
    <n v="211"/>
    <n v="4"/>
    <n v="1519"/>
    <n v="54"/>
    <n v="811"/>
    <n v="29"/>
    <s v="25–40"/>
    <s v="Female"/>
    <n v="3"/>
    <x v="0"/>
    <x v="0"/>
    <x v="0"/>
    <x v="0"/>
  </r>
  <r>
    <n v="289"/>
    <s v="OnePlus 9"/>
    <s v="Android"/>
    <n v="121"/>
    <n v="3.7"/>
    <n v="619"/>
    <n v="36"/>
    <n v="473"/>
    <n v="47"/>
    <s v="40+"/>
    <s v="Male"/>
    <n v="2"/>
    <x v="0"/>
    <x v="1"/>
    <x v="0"/>
    <x v="0"/>
  </r>
  <r>
    <n v="290"/>
    <s v="Google Pixel 5"/>
    <s v="Android"/>
    <n v="84"/>
    <n v="1.2"/>
    <n v="415"/>
    <n v="10"/>
    <n v="146"/>
    <n v="50"/>
    <s v="40+"/>
    <s v="Male"/>
    <n v="1"/>
    <x v="0"/>
    <x v="1"/>
    <x v="0"/>
    <x v="0"/>
  </r>
  <r>
    <n v="291"/>
    <s v="OnePlus 9"/>
    <s v="Android"/>
    <n v="448"/>
    <n v="7.6"/>
    <n v="2199"/>
    <n v="66"/>
    <n v="1047"/>
    <n v="28"/>
    <s v="25–40"/>
    <s v="Male"/>
    <n v="4"/>
    <x v="0"/>
    <x v="0"/>
    <x v="0"/>
    <x v="0"/>
  </r>
  <r>
    <n v="292"/>
    <s v="Google Pixel 5"/>
    <s v="Android"/>
    <n v="55"/>
    <n v="1.6"/>
    <n v="360"/>
    <n v="19"/>
    <n v="149"/>
    <n v="30"/>
    <s v="25–40"/>
    <s v="Male"/>
    <n v="1"/>
    <x v="1"/>
    <x v="2"/>
    <x v="0"/>
    <x v="0"/>
  </r>
  <r>
    <n v="293"/>
    <s v="Google Pixel 5"/>
    <s v="Android"/>
    <n v="59"/>
    <n v="1.8"/>
    <n v="497"/>
    <n v="10"/>
    <n v="208"/>
    <n v="36"/>
    <s v="25–40"/>
    <s v="Female"/>
    <n v="1"/>
    <x v="1"/>
    <x v="2"/>
    <x v="0"/>
    <x v="0"/>
  </r>
  <r>
    <n v="294"/>
    <s v="Xiaomi Mi 11"/>
    <s v="Android"/>
    <n v="226"/>
    <n v="4.5"/>
    <n v="1781"/>
    <n v="45"/>
    <n v="649"/>
    <n v="27"/>
    <s v="25–40"/>
    <s v="Female"/>
    <n v="3"/>
    <x v="0"/>
    <x v="0"/>
    <x v="0"/>
    <x v="0"/>
  </r>
  <r>
    <n v="295"/>
    <s v="Samsung Galaxy S21"/>
    <s v="Android"/>
    <n v="580"/>
    <n v="8.5"/>
    <n v="2660"/>
    <n v="87"/>
    <n v="1795"/>
    <n v="52"/>
    <s v="40+"/>
    <s v="Male"/>
    <n v="5"/>
    <x v="0"/>
    <x v="0"/>
    <x v="1"/>
    <x v="1"/>
  </r>
  <r>
    <n v="296"/>
    <s v="OnePlus 9"/>
    <s v="Android"/>
    <n v="65"/>
    <n v="1.8"/>
    <n v="481"/>
    <n v="18"/>
    <n v="130"/>
    <n v="41"/>
    <s v="40+"/>
    <s v="Male"/>
    <n v="1"/>
    <x v="0"/>
    <x v="1"/>
    <x v="0"/>
    <x v="0"/>
  </r>
  <r>
    <n v="297"/>
    <s v="OnePlus 9"/>
    <s v="Android"/>
    <n v="458"/>
    <n v="6.6"/>
    <n v="2214"/>
    <n v="67"/>
    <n v="1163"/>
    <n v="31"/>
    <s v="25–40"/>
    <s v="Female"/>
    <n v="4"/>
    <x v="0"/>
    <x v="0"/>
    <x v="0"/>
    <x v="0"/>
  </r>
  <r>
    <n v="298"/>
    <s v="iPhone 12"/>
    <s v="iOS"/>
    <n v="170"/>
    <n v="2.7"/>
    <n v="805"/>
    <n v="26"/>
    <n v="344"/>
    <n v="53"/>
    <s v="40+"/>
    <s v="Female"/>
    <n v="2"/>
    <x v="0"/>
    <x v="1"/>
    <x v="0"/>
    <x v="0"/>
  </r>
  <r>
    <n v="299"/>
    <s v="iPhone 12"/>
    <s v="iOS"/>
    <n v="264"/>
    <n v="5.2"/>
    <n v="1641"/>
    <n v="44"/>
    <n v="778"/>
    <n v="44"/>
    <s v="40+"/>
    <s v="Male"/>
    <n v="3"/>
    <x v="0"/>
    <x v="0"/>
    <x v="0"/>
    <x v="0"/>
  </r>
  <r>
    <n v="300"/>
    <s v="Xiaomi Mi 11"/>
    <s v="Android"/>
    <n v="122"/>
    <n v="3.3"/>
    <n v="748"/>
    <n v="35"/>
    <n v="499"/>
    <n v="59"/>
    <s v="40+"/>
    <s v="Female"/>
    <n v="2"/>
    <x v="0"/>
    <x v="1"/>
    <x v="0"/>
    <x v="0"/>
  </r>
  <r>
    <n v="301"/>
    <s v="Xiaomi Mi 11"/>
    <s v="Android"/>
    <n v="420"/>
    <n v="6.5"/>
    <n v="2113"/>
    <n v="65"/>
    <n v="1314"/>
    <n v="35"/>
    <s v="25–40"/>
    <s v="Male"/>
    <n v="4"/>
    <x v="0"/>
    <x v="0"/>
    <x v="0"/>
    <x v="0"/>
  </r>
  <r>
    <n v="302"/>
    <s v="iPhone 12"/>
    <s v="iOS"/>
    <n v="267"/>
    <n v="4.4000000000000004"/>
    <n v="1505"/>
    <n v="59"/>
    <n v="971"/>
    <n v="38"/>
    <s v="25–40"/>
    <s v="Female"/>
    <n v="3"/>
    <x v="0"/>
    <x v="0"/>
    <x v="0"/>
    <x v="0"/>
  </r>
  <r>
    <n v="303"/>
    <s v="iPhone 12"/>
    <s v="iOS"/>
    <n v="469"/>
    <n v="6"/>
    <n v="2290"/>
    <n v="67"/>
    <n v="1086"/>
    <n v="34"/>
    <s v="25–40"/>
    <s v="Female"/>
    <n v="4"/>
    <x v="0"/>
    <x v="0"/>
    <x v="0"/>
    <x v="1"/>
  </r>
  <r>
    <n v="304"/>
    <s v="iPhone 12"/>
    <s v="iOS"/>
    <n v="541"/>
    <n v="11.4"/>
    <n v="2443"/>
    <n v="89"/>
    <n v="1923"/>
    <n v="34"/>
    <s v="25–40"/>
    <s v="Female"/>
    <n v="5"/>
    <x v="0"/>
    <x v="0"/>
    <x v="1"/>
    <x v="1"/>
  </r>
  <r>
    <n v="305"/>
    <s v="iPhone 12"/>
    <s v="iOS"/>
    <n v="155"/>
    <n v="2.9"/>
    <n v="1117"/>
    <n v="22"/>
    <n v="322"/>
    <n v="19"/>
    <s v="&lt;25"/>
    <s v="Female"/>
    <n v="2"/>
    <x v="0"/>
    <x v="1"/>
    <x v="0"/>
    <x v="0"/>
  </r>
  <r>
    <n v="306"/>
    <s v="OnePlus 9"/>
    <s v="Android"/>
    <n v="106"/>
    <n v="2.8"/>
    <n v="686"/>
    <n v="32"/>
    <n v="594"/>
    <n v="27"/>
    <s v="25–40"/>
    <s v="Male"/>
    <n v="2"/>
    <x v="0"/>
    <x v="1"/>
    <x v="0"/>
    <x v="0"/>
  </r>
  <r>
    <n v="307"/>
    <s v="OnePlus 9"/>
    <s v="Android"/>
    <n v="243"/>
    <n v="5"/>
    <n v="1232"/>
    <n v="47"/>
    <n v="877"/>
    <n v="43"/>
    <s v="40+"/>
    <s v="Male"/>
    <n v="3"/>
    <x v="0"/>
    <x v="0"/>
    <x v="0"/>
    <x v="0"/>
  </r>
  <r>
    <n v="308"/>
    <s v="OnePlus 9"/>
    <s v="Android"/>
    <n v="410"/>
    <n v="7.5"/>
    <n v="2176"/>
    <n v="68"/>
    <n v="1213"/>
    <n v="45"/>
    <s v="40+"/>
    <s v="Female"/>
    <n v="4"/>
    <x v="0"/>
    <x v="0"/>
    <x v="0"/>
    <x v="0"/>
  </r>
  <r>
    <n v="309"/>
    <s v="iPhone 12"/>
    <s v="iOS"/>
    <n v="285"/>
    <n v="5.0999999999999996"/>
    <n v="1226"/>
    <n v="57"/>
    <n v="666"/>
    <n v="20"/>
    <s v="&lt;25"/>
    <s v="Female"/>
    <n v="3"/>
    <x v="0"/>
    <x v="0"/>
    <x v="0"/>
    <x v="0"/>
  </r>
  <r>
    <n v="310"/>
    <s v="OnePlus 9"/>
    <s v="Android"/>
    <n v="397"/>
    <n v="6.8"/>
    <n v="2027"/>
    <n v="66"/>
    <n v="1167"/>
    <n v="40"/>
    <s v="25–40"/>
    <s v="Male"/>
    <n v="4"/>
    <x v="0"/>
    <x v="0"/>
    <x v="0"/>
    <x v="0"/>
  </r>
  <r>
    <n v="311"/>
    <s v="Samsung Galaxy S21"/>
    <s v="Android"/>
    <n v="230"/>
    <n v="4.2"/>
    <n v="1507"/>
    <n v="51"/>
    <n v="868"/>
    <n v="25"/>
    <s v="25–40"/>
    <s v="Female"/>
    <n v="3"/>
    <x v="0"/>
    <x v="0"/>
    <x v="0"/>
    <x v="0"/>
  </r>
  <r>
    <n v="312"/>
    <s v="iPhone 12"/>
    <s v="iOS"/>
    <n v="341"/>
    <n v="7.2"/>
    <n v="2397"/>
    <n v="68"/>
    <n v="1055"/>
    <n v="32"/>
    <s v="25–40"/>
    <s v="Female"/>
    <n v="4"/>
    <x v="0"/>
    <x v="0"/>
    <x v="0"/>
    <x v="1"/>
  </r>
  <r>
    <n v="313"/>
    <s v="Google Pixel 5"/>
    <s v="Android"/>
    <n v="132"/>
    <n v="2.9"/>
    <n v="1054"/>
    <n v="32"/>
    <n v="563"/>
    <n v="20"/>
    <s v="&lt;25"/>
    <s v="Male"/>
    <n v="2"/>
    <x v="0"/>
    <x v="1"/>
    <x v="0"/>
    <x v="0"/>
  </r>
  <r>
    <n v="314"/>
    <s v="Xiaomi Mi 11"/>
    <s v="Android"/>
    <n v="130"/>
    <n v="3"/>
    <n v="820"/>
    <n v="21"/>
    <n v="308"/>
    <n v="49"/>
    <s v="40+"/>
    <s v="Female"/>
    <n v="2"/>
    <x v="0"/>
    <x v="1"/>
    <x v="0"/>
    <x v="0"/>
  </r>
  <r>
    <n v="315"/>
    <s v="iPhone 12"/>
    <s v="iOS"/>
    <n v="281"/>
    <n v="4.9000000000000004"/>
    <n v="1566"/>
    <n v="59"/>
    <n v="632"/>
    <n v="29"/>
    <s v="25–40"/>
    <s v="Male"/>
    <n v="3"/>
    <x v="0"/>
    <x v="0"/>
    <x v="0"/>
    <x v="0"/>
  </r>
  <r>
    <n v="316"/>
    <s v="OnePlus 9"/>
    <s v="Android"/>
    <n v="74"/>
    <n v="2"/>
    <n v="320"/>
    <n v="11"/>
    <n v="103"/>
    <n v="55"/>
    <s v="40+"/>
    <s v="Female"/>
    <n v="1"/>
    <x v="0"/>
    <x v="1"/>
    <x v="0"/>
    <x v="0"/>
  </r>
  <r>
    <n v="317"/>
    <s v="OnePlus 9"/>
    <s v="Android"/>
    <n v="299"/>
    <n v="4.3"/>
    <n v="1737"/>
    <n v="43"/>
    <n v="953"/>
    <n v="42"/>
    <s v="40+"/>
    <s v="Female"/>
    <n v="3"/>
    <x v="0"/>
    <x v="0"/>
    <x v="0"/>
    <x v="0"/>
  </r>
  <r>
    <n v="318"/>
    <s v="Google Pixel 5"/>
    <s v="Android"/>
    <n v="116"/>
    <n v="2.2000000000000002"/>
    <n v="827"/>
    <n v="29"/>
    <n v="434"/>
    <n v="28"/>
    <s v="25–40"/>
    <s v="Female"/>
    <n v="2"/>
    <x v="0"/>
    <x v="1"/>
    <x v="0"/>
    <x v="0"/>
  </r>
  <r>
    <n v="319"/>
    <s v="OnePlus 9"/>
    <s v="Android"/>
    <n v="408"/>
    <n v="6.6"/>
    <n v="2026"/>
    <n v="63"/>
    <n v="1076"/>
    <n v="47"/>
    <s v="40+"/>
    <s v="Female"/>
    <n v="4"/>
    <x v="0"/>
    <x v="0"/>
    <x v="0"/>
    <x v="0"/>
  </r>
  <r>
    <n v="320"/>
    <s v="Google Pixel 5"/>
    <s v="Android"/>
    <n v="508"/>
    <n v="11.3"/>
    <n v="2590"/>
    <n v="81"/>
    <n v="2481"/>
    <n v="51"/>
    <s v="40+"/>
    <s v="Male"/>
    <n v="5"/>
    <x v="0"/>
    <x v="0"/>
    <x v="1"/>
    <x v="1"/>
  </r>
  <r>
    <n v="321"/>
    <s v="iPhone 12"/>
    <s v="iOS"/>
    <n v="227"/>
    <n v="4.4000000000000004"/>
    <n v="1275"/>
    <n v="56"/>
    <n v="984"/>
    <n v="22"/>
    <s v="&lt;25"/>
    <s v="Female"/>
    <n v="3"/>
    <x v="0"/>
    <x v="0"/>
    <x v="0"/>
    <x v="0"/>
  </r>
  <r>
    <n v="322"/>
    <s v="Google Pixel 5"/>
    <s v="Android"/>
    <n v="274"/>
    <n v="6"/>
    <n v="1489"/>
    <n v="56"/>
    <n v="666"/>
    <n v="57"/>
    <s v="40+"/>
    <s v="Female"/>
    <n v="3"/>
    <x v="0"/>
    <x v="0"/>
    <x v="0"/>
    <x v="0"/>
  </r>
  <r>
    <n v="323"/>
    <s v="Google Pixel 5"/>
    <s v="Android"/>
    <n v="347"/>
    <n v="6.3"/>
    <n v="2001"/>
    <n v="61"/>
    <n v="1456"/>
    <n v="21"/>
    <s v="&lt;25"/>
    <s v="Female"/>
    <n v="4"/>
    <x v="0"/>
    <x v="0"/>
    <x v="1"/>
    <x v="0"/>
  </r>
  <r>
    <n v="324"/>
    <s v="Xiaomi Mi 11"/>
    <s v="Android"/>
    <n v="76"/>
    <n v="1.3"/>
    <n v="490"/>
    <n v="14"/>
    <n v="156"/>
    <n v="31"/>
    <s v="25–40"/>
    <s v="Female"/>
    <n v="1"/>
    <x v="0"/>
    <x v="1"/>
    <x v="0"/>
    <x v="0"/>
  </r>
  <r>
    <n v="325"/>
    <s v="iPhone 12"/>
    <s v="iOS"/>
    <n v="445"/>
    <n v="7.5"/>
    <n v="2007"/>
    <n v="78"/>
    <n v="1115"/>
    <n v="23"/>
    <s v="&lt;25"/>
    <s v="Male"/>
    <n v="4"/>
    <x v="0"/>
    <x v="0"/>
    <x v="0"/>
    <x v="0"/>
  </r>
  <r>
    <n v="326"/>
    <s v="OnePlus 9"/>
    <s v="Android"/>
    <n v="203"/>
    <n v="4.3"/>
    <n v="1554"/>
    <n v="54"/>
    <n v="638"/>
    <n v="25"/>
    <s v="25–40"/>
    <s v="Female"/>
    <n v="3"/>
    <x v="0"/>
    <x v="0"/>
    <x v="0"/>
    <x v="0"/>
  </r>
  <r>
    <n v="327"/>
    <s v="Samsung Galaxy S21"/>
    <s v="Android"/>
    <n v="199"/>
    <n v="6"/>
    <n v="1707"/>
    <n v="57"/>
    <n v="881"/>
    <n v="55"/>
    <s v="40+"/>
    <s v="Male"/>
    <n v="3"/>
    <x v="0"/>
    <x v="0"/>
    <x v="0"/>
    <x v="0"/>
  </r>
  <r>
    <n v="328"/>
    <s v="OnePlus 9"/>
    <s v="Android"/>
    <n v="48"/>
    <n v="2"/>
    <n v="574"/>
    <n v="18"/>
    <n v="127"/>
    <n v="24"/>
    <s v="&lt;25"/>
    <s v="Female"/>
    <n v="1"/>
    <x v="1"/>
    <x v="2"/>
    <x v="0"/>
    <x v="0"/>
  </r>
  <r>
    <n v="329"/>
    <s v="OnePlus 9"/>
    <s v="Android"/>
    <n v="88"/>
    <n v="1.6"/>
    <n v="420"/>
    <n v="12"/>
    <n v="274"/>
    <n v="31"/>
    <s v="25–40"/>
    <s v="Female"/>
    <n v="1"/>
    <x v="0"/>
    <x v="1"/>
    <x v="0"/>
    <x v="0"/>
  </r>
  <r>
    <n v="330"/>
    <s v="iPhone 12"/>
    <s v="iOS"/>
    <n v="541"/>
    <n v="8.3000000000000007"/>
    <n v="2865"/>
    <n v="89"/>
    <n v="1820"/>
    <n v="42"/>
    <s v="40+"/>
    <s v="Female"/>
    <n v="5"/>
    <x v="0"/>
    <x v="0"/>
    <x v="1"/>
    <x v="1"/>
  </r>
  <r>
    <n v="331"/>
    <s v="Google Pixel 5"/>
    <s v="Android"/>
    <n v="233"/>
    <n v="4.5999999999999996"/>
    <n v="1534"/>
    <n v="49"/>
    <n v="796"/>
    <n v="21"/>
    <s v="&lt;25"/>
    <s v="Female"/>
    <n v="3"/>
    <x v="0"/>
    <x v="0"/>
    <x v="0"/>
    <x v="0"/>
  </r>
  <r>
    <n v="332"/>
    <s v="iPhone 12"/>
    <s v="iOS"/>
    <n v="176"/>
    <n v="3.8"/>
    <n v="727"/>
    <n v="36"/>
    <n v="362"/>
    <n v="47"/>
    <s v="40+"/>
    <s v="Female"/>
    <n v="2"/>
    <x v="0"/>
    <x v="1"/>
    <x v="0"/>
    <x v="0"/>
  </r>
  <r>
    <n v="333"/>
    <s v="OnePlus 9"/>
    <s v="Android"/>
    <n v="191"/>
    <n v="6"/>
    <n v="1762"/>
    <n v="45"/>
    <n v="904"/>
    <n v="54"/>
    <s v="40+"/>
    <s v="Male"/>
    <n v="3"/>
    <x v="0"/>
    <x v="0"/>
    <x v="0"/>
    <x v="0"/>
  </r>
  <r>
    <n v="334"/>
    <s v="Google Pixel 5"/>
    <s v="Android"/>
    <n v="461"/>
    <n v="7.5"/>
    <n v="2001"/>
    <n v="69"/>
    <n v="1324"/>
    <n v="34"/>
    <s v="25–40"/>
    <s v="Female"/>
    <n v="4"/>
    <x v="0"/>
    <x v="0"/>
    <x v="0"/>
    <x v="0"/>
  </r>
  <r>
    <n v="335"/>
    <s v="Samsung Galaxy S21"/>
    <s v="Android"/>
    <n v="37"/>
    <n v="1.5"/>
    <n v="375"/>
    <n v="18"/>
    <n v="246"/>
    <n v="46"/>
    <s v="40+"/>
    <s v="Female"/>
    <n v="1"/>
    <x v="1"/>
    <x v="2"/>
    <x v="0"/>
    <x v="0"/>
  </r>
  <r>
    <n v="336"/>
    <s v="OnePlus 9"/>
    <s v="Android"/>
    <n v="531"/>
    <n v="9.8000000000000007"/>
    <n v="2905"/>
    <n v="99"/>
    <n v="1632"/>
    <n v="45"/>
    <s v="40+"/>
    <s v="Female"/>
    <n v="5"/>
    <x v="0"/>
    <x v="0"/>
    <x v="1"/>
    <x v="1"/>
  </r>
  <r>
    <n v="337"/>
    <s v="Samsung Galaxy S21"/>
    <s v="Android"/>
    <n v="473"/>
    <n v="7.9"/>
    <n v="2292"/>
    <n v="62"/>
    <n v="1472"/>
    <n v="44"/>
    <s v="40+"/>
    <s v="Male"/>
    <n v="4"/>
    <x v="0"/>
    <x v="0"/>
    <x v="1"/>
    <x v="1"/>
  </r>
  <r>
    <n v="338"/>
    <s v="Samsung Galaxy S21"/>
    <s v="Android"/>
    <n v="30"/>
    <n v="1.3"/>
    <n v="561"/>
    <n v="15"/>
    <n v="252"/>
    <n v="34"/>
    <s v="25–40"/>
    <s v="Male"/>
    <n v="1"/>
    <x v="1"/>
    <x v="2"/>
    <x v="0"/>
    <x v="0"/>
  </r>
  <r>
    <n v="339"/>
    <s v="iPhone 12"/>
    <s v="iOS"/>
    <n v="306"/>
    <n v="6.1"/>
    <n v="2267"/>
    <n v="70"/>
    <n v="1449"/>
    <n v="46"/>
    <s v="40+"/>
    <s v="Male"/>
    <n v="4"/>
    <x v="0"/>
    <x v="0"/>
    <x v="1"/>
    <x v="1"/>
  </r>
  <r>
    <n v="340"/>
    <s v="iPhone 12"/>
    <s v="iOS"/>
    <n v="64"/>
    <n v="1.2"/>
    <n v="590"/>
    <n v="13"/>
    <n v="155"/>
    <n v="30"/>
    <s v="25–40"/>
    <s v="Male"/>
    <n v="1"/>
    <x v="0"/>
    <x v="1"/>
    <x v="0"/>
    <x v="0"/>
  </r>
  <r>
    <n v="341"/>
    <s v="iPhone 12"/>
    <s v="iOS"/>
    <n v="75"/>
    <n v="1"/>
    <n v="435"/>
    <n v="13"/>
    <n v="223"/>
    <n v="43"/>
    <s v="40+"/>
    <s v="Male"/>
    <n v="1"/>
    <x v="0"/>
    <x v="1"/>
    <x v="0"/>
    <x v="0"/>
  </r>
  <r>
    <n v="342"/>
    <s v="iPhone 12"/>
    <s v="iOS"/>
    <n v="597"/>
    <n v="10.3"/>
    <n v="2718"/>
    <n v="90"/>
    <n v="1863"/>
    <n v="26"/>
    <s v="25–40"/>
    <s v="Female"/>
    <n v="5"/>
    <x v="0"/>
    <x v="0"/>
    <x v="1"/>
    <x v="1"/>
  </r>
  <r>
    <n v="343"/>
    <s v="iPhone 12"/>
    <s v="iOS"/>
    <n v="529"/>
    <n v="10.5"/>
    <n v="2971"/>
    <n v="87"/>
    <n v="1683"/>
    <n v="56"/>
    <s v="40+"/>
    <s v="Male"/>
    <n v="5"/>
    <x v="0"/>
    <x v="0"/>
    <x v="1"/>
    <x v="1"/>
  </r>
  <r>
    <n v="344"/>
    <s v="iPhone 12"/>
    <s v="iOS"/>
    <n v="290"/>
    <n v="6"/>
    <n v="1533"/>
    <n v="54"/>
    <n v="645"/>
    <n v="57"/>
    <s v="40+"/>
    <s v="Female"/>
    <n v="3"/>
    <x v="0"/>
    <x v="0"/>
    <x v="0"/>
    <x v="0"/>
  </r>
  <r>
    <n v="345"/>
    <s v="iPhone 12"/>
    <s v="iOS"/>
    <n v="256"/>
    <n v="5.8"/>
    <n v="1309"/>
    <n v="52"/>
    <n v="840"/>
    <n v="43"/>
    <s v="40+"/>
    <s v="Male"/>
    <n v="3"/>
    <x v="0"/>
    <x v="0"/>
    <x v="0"/>
    <x v="0"/>
  </r>
  <r>
    <n v="346"/>
    <s v="iPhone 12"/>
    <s v="iOS"/>
    <n v="308"/>
    <n v="7.7"/>
    <n v="1974"/>
    <n v="73"/>
    <n v="1431"/>
    <n v="37"/>
    <s v="25–40"/>
    <s v="Female"/>
    <n v="4"/>
    <x v="0"/>
    <x v="0"/>
    <x v="1"/>
    <x v="0"/>
  </r>
  <r>
    <n v="347"/>
    <s v="OnePlus 9"/>
    <s v="Android"/>
    <n v="156"/>
    <n v="3.3"/>
    <n v="1020"/>
    <n v="38"/>
    <n v="447"/>
    <n v="57"/>
    <s v="40+"/>
    <s v="Female"/>
    <n v="2"/>
    <x v="0"/>
    <x v="1"/>
    <x v="0"/>
    <x v="0"/>
  </r>
  <r>
    <n v="348"/>
    <s v="Samsung Galaxy S21"/>
    <s v="Android"/>
    <n v="62"/>
    <n v="1.4"/>
    <n v="542"/>
    <n v="18"/>
    <n v="266"/>
    <n v="46"/>
    <s v="40+"/>
    <s v="Male"/>
    <n v="1"/>
    <x v="0"/>
    <x v="1"/>
    <x v="0"/>
    <x v="0"/>
  </r>
  <r>
    <n v="349"/>
    <s v="Google Pixel 5"/>
    <s v="Android"/>
    <n v="156"/>
    <n v="3.8"/>
    <n v="866"/>
    <n v="34"/>
    <n v="510"/>
    <n v="26"/>
    <s v="25–40"/>
    <s v="Male"/>
    <n v="2"/>
    <x v="0"/>
    <x v="1"/>
    <x v="0"/>
    <x v="0"/>
  </r>
  <r>
    <n v="350"/>
    <s v="Samsung Galaxy S21"/>
    <s v="Android"/>
    <n v="303"/>
    <n v="7.4"/>
    <n v="2314"/>
    <n v="66"/>
    <n v="1387"/>
    <n v="34"/>
    <s v="25–40"/>
    <s v="Male"/>
    <n v="4"/>
    <x v="0"/>
    <x v="0"/>
    <x v="1"/>
    <x v="1"/>
  </r>
  <r>
    <n v="351"/>
    <s v="Samsung Galaxy S21"/>
    <s v="Android"/>
    <n v="463"/>
    <n v="6.9"/>
    <n v="2111"/>
    <n v="73"/>
    <n v="1463"/>
    <n v="54"/>
    <s v="40+"/>
    <s v="Male"/>
    <n v="4"/>
    <x v="0"/>
    <x v="0"/>
    <x v="1"/>
    <x v="0"/>
  </r>
  <r>
    <n v="352"/>
    <s v="Google Pixel 5"/>
    <s v="Android"/>
    <n v="60"/>
    <n v="1.5"/>
    <n v="593"/>
    <n v="14"/>
    <n v="281"/>
    <n v="35"/>
    <s v="25–40"/>
    <s v="Female"/>
    <n v="1"/>
    <x v="0"/>
    <x v="1"/>
    <x v="0"/>
    <x v="0"/>
  </r>
  <r>
    <n v="353"/>
    <s v="Google Pixel 5"/>
    <s v="Android"/>
    <n v="225"/>
    <n v="4.5999999999999996"/>
    <n v="1230"/>
    <n v="52"/>
    <n v="954"/>
    <n v="20"/>
    <s v="&lt;25"/>
    <s v="Female"/>
    <n v="3"/>
    <x v="0"/>
    <x v="0"/>
    <x v="0"/>
    <x v="0"/>
  </r>
  <r>
    <n v="354"/>
    <s v="Samsung Galaxy S21"/>
    <s v="Android"/>
    <n v="379"/>
    <n v="7.5"/>
    <n v="1823"/>
    <n v="68"/>
    <n v="1075"/>
    <n v="53"/>
    <s v="40+"/>
    <s v="Female"/>
    <n v="4"/>
    <x v="0"/>
    <x v="0"/>
    <x v="0"/>
    <x v="0"/>
  </r>
  <r>
    <n v="355"/>
    <s v="OnePlus 9"/>
    <s v="Android"/>
    <n v="53"/>
    <n v="1.4"/>
    <n v="455"/>
    <n v="14"/>
    <n v="106"/>
    <n v="54"/>
    <s v="40+"/>
    <s v="Female"/>
    <n v="1"/>
    <x v="1"/>
    <x v="2"/>
    <x v="0"/>
    <x v="0"/>
  </r>
  <r>
    <n v="356"/>
    <s v="Samsung Galaxy S21"/>
    <s v="Android"/>
    <n v="30"/>
    <n v="1.9"/>
    <n v="574"/>
    <n v="19"/>
    <n v="287"/>
    <n v="45"/>
    <s v="40+"/>
    <s v="Male"/>
    <n v="1"/>
    <x v="1"/>
    <x v="2"/>
    <x v="0"/>
    <x v="0"/>
  </r>
  <r>
    <n v="357"/>
    <s v="iPhone 12"/>
    <s v="iOS"/>
    <n v="291"/>
    <n v="4.0999999999999996"/>
    <n v="1326"/>
    <n v="51"/>
    <n v="905"/>
    <n v="55"/>
    <s v="40+"/>
    <s v="Female"/>
    <n v="3"/>
    <x v="0"/>
    <x v="0"/>
    <x v="0"/>
    <x v="0"/>
  </r>
  <r>
    <n v="358"/>
    <s v="iPhone 12"/>
    <s v="iOS"/>
    <n v="488"/>
    <n v="9.5"/>
    <n v="2840"/>
    <n v="92"/>
    <n v="1986"/>
    <n v="48"/>
    <s v="40+"/>
    <s v="Female"/>
    <n v="5"/>
    <x v="0"/>
    <x v="0"/>
    <x v="1"/>
    <x v="1"/>
  </r>
  <r>
    <n v="359"/>
    <s v="Google Pixel 5"/>
    <s v="Android"/>
    <n v="74"/>
    <n v="2"/>
    <n v="366"/>
    <n v="13"/>
    <n v="253"/>
    <n v="44"/>
    <s v="40+"/>
    <s v="Female"/>
    <n v="1"/>
    <x v="0"/>
    <x v="1"/>
    <x v="0"/>
    <x v="0"/>
  </r>
  <r>
    <n v="360"/>
    <s v="Samsung Galaxy S21"/>
    <s v="Android"/>
    <n v="230"/>
    <n v="4.5999999999999996"/>
    <n v="1325"/>
    <n v="55"/>
    <n v="845"/>
    <n v="54"/>
    <s v="40+"/>
    <s v="Female"/>
    <n v="3"/>
    <x v="0"/>
    <x v="0"/>
    <x v="0"/>
    <x v="0"/>
  </r>
  <r>
    <n v="361"/>
    <s v="Samsung Galaxy S21"/>
    <s v="Android"/>
    <n v="517"/>
    <n v="11.8"/>
    <n v="2435"/>
    <n v="86"/>
    <n v="2208"/>
    <n v="26"/>
    <s v="25–40"/>
    <s v="Male"/>
    <n v="5"/>
    <x v="0"/>
    <x v="0"/>
    <x v="1"/>
    <x v="1"/>
  </r>
  <r>
    <n v="362"/>
    <s v="OnePlus 9"/>
    <s v="Android"/>
    <n v="557"/>
    <n v="10.4"/>
    <n v="2900"/>
    <n v="97"/>
    <n v="1609"/>
    <n v="22"/>
    <s v="&lt;25"/>
    <s v="Male"/>
    <n v="5"/>
    <x v="0"/>
    <x v="0"/>
    <x v="1"/>
    <x v="1"/>
  </r>
  <r>
    <n v="363"/>
    <s v="Xiaomi Mi 11"/>
    <s v="Android"/>
    <n v="78"/>
    <n v="1.5"/>
    <n v="341"/>
    <n v="11"/>
    <n v="259"/>
    <n v="38"/>
    <s v="25–40"/>
    <s v="Female"/>
    <n v="1"/>
    <x v="0"/>
    <x v="1"/>
    <x v="0"/>
    <x v="0"/>
  </r>
  <r>
    <n v="364"/>
    <s v="iPhone 12"/>
    <s v="iOS"/>
    <n v="321"/>
    <n v="7.9"/>
    <n v="2159"/>
    <n v="64"/>
    <n v="1499"/>
    <n v="45"/>
    <s v="40+"/>
    <s v="Male"/>
    <n v="4"/>
    <x v="0"/>
    <x v="0"/>
    <x v="1"/>
    <x v="0"/>
  </r>
  <r>
    <n v="365"/>
    <s v="Xiaomi Mi 11"/>
    <s v="Android"/>
    <n v="579"/>
    <n v="8.6"/>
    <n v="2539"/>
    <n v="84"/>
    <n v="1935"/>
    <n v="34"/>
    <s v="25–40"/>
    <s v="Male"/>
    <n v="5"/>
    <x v="0"/>
    <x v="0"/>
    <x v="1"/>
    <x v="1"/>
  </r>
  <r>
    <n v="366"/>
    <s v="OnePlus 9"/>
    <s v="Android"/>
    <n v="382"/>
    <n v="7.2"/>
    <n v="1965"/>
    <n v="67"/>
    <n v="1341"/>
    <n v="22"/>
    <s v="&lt;25"/>
    <s v="Male"/>
    <n v="4"/>
    <x v="0"/>
    <x v="0"/>
    <x v="1"/>
    <x v="0"/>
  </r>
  <r>
    <n v="367"/>
    <s v="Xiaomi Mi 11"/>
    <s v="Android"/>
    <n v="516"/>
    <n v="11.6"/>
    <n v="2464"/>
    <n v="82"/>
    <n v="1767"/>
    <n v="29"/>
    <s v="25–40"/>
    <s v="Female"/>
    <n v="5"/>
    <x v="0"/>
    <x v="0"/>
    <x v="1"/>
    <x v="1"/>
  </r>
  <r>
    <n v="368"/>
    <s v="OnePlus 9"/>
    <s v="Android"/>
    <n v="598"/>
    <n v="11.2"/>
    <n v="2876"/>
    <n v="85"/>
    <n v="2477"/>
    <n v="58"/>
    <s v="40+"/>
    <s v="Female"/>
    <n v="5"/>
    <x v="0"/>
    <x v="0"/>
    <x v="1"/>
    <x v="1"/>
  </r>
  <r>
    <n v="369"/>
    <s v="OnePlus 9"/>
    <s v="Android"/>
    <n v="102"/>
    <n v="3.9"/>
    <n v="747"/>
    <n v="36"/>
    <n v="408"/>
    <n v="49"/>
    <s v="40+"/>
    <s v="Female"/>
    <n v="2"/>
    <x v="0"/>
    <x v="1"/>
    <x v="0"/>
    <x v="0"/>
  </r>
  <r>
    <n v="370"/>
    <s v="iPhone 12"/>
    <s v="iOS"/>
    <n v="165"/>
    <n v="2.4"/>
    <n v="816"/>
    <n v="35"/>
    <n v="503"/>
    <n v="34"/>
    <s v="25–40"/>
    <s v="Male"/>
    <n v="2"/>
    <x v="0"/>
    <x v="1"/>
    <x v="0"/>
    <x v="0"/>
  </r>
  <r>
    <n v="371"/>
    <s v="iPhone 12"/>
    <s v="iOS"/>
    <n v="558"/>
    <n v="9.8000000000000007"/>
    <n v="2765"/>
    <n v="83"/>
    <n v="1548"/>
    <n v="25"/>
    <s v="25–40"/>
    <s v="Female"/>
    <n v="5"/>
    <x v="0"/>
    <x v="0"/>
    <x v="1"/>
    <x v="1"/>
  </r>
  <r>
    <n v="372"/>
    <s v="Google Pixel 5"/>
    <s v="Android"/>
    <n v="561"/>
    <n v="10.6"/>
    <n v="2547"/>
    <n v="86"/>
    <n v="1823"/>
    <n v="22"/>
    <s v="&lt;25"/>
    <s v="Male"/>
    <n v="5"/>
    <x v="0"/>
    <x v="0"/>
    <x v="1"/>
    <x v="1"/>
  </r>
  <r>
    <n v="373"/>
    <s v="Samsung Galaxy S21"/>
    <s v="Android"/>
    <n v="511"/>
    <n v="10.9"/>
    <n v="2514"/>
    <n v="91"/>
    <n v="2335"/>
    <n v="59"/>
    <s v="40+"/>
    <s v="Female"/>
    <n v="5"/>
    <x v="0"/>
    <x v="0"/>
    <x v="1"/>
    <x v="1"/>
  </r>
  <r>
    <n v="374"/>
    <s v="Google Pixel 5"/>
    <s v="Android"/>
    <n v="560"/>
    <n v="11.3"/>
    <n v="2947"/>
    <n v="95"/>
    <n v="1663"/>
    <n v="25"/>
    <s v="25–40"/>
    <s v="Female"/>
    <n v="5"/>
    <x v="0"/>
    <x v="0"/>
    <x v="1"/>
    <x v="1"/>
  </r>
  <r>
    <n v="375"/>
    <s v="OnePlus 9"/>
    <s v="Android"/>
    <n v="69"/>
    <n v="1.3"/>
    <n v="434"/>
    <n v="12"/>
    <n v="164"/>
    <n v="42"/>
    <s v="40+"/>
    <s v="Male"/>
    <n v="1"/>
    <x v="0"/>
    <x v="1"/>
    <x v="0"/>
    <x v="0"/>
  </r>
  <r>
    <n v="376"/>
    <s v="OnePlus 9"/>
    <s v="Android"/>
    <n v="44"/>
    <n v="1.1000000000000001"/>
    <n v="531"/>
    <n v="17"/>
    <n v="232"/>
    <n v="26"/>
    <s v="25–40"/>
    <s v="Male"/>
    <n v="1"/>
    <x v="1"/>
    <x v="2"/>
    <x v="0"/>
    <x v="0"/>
  </r>
  <r>
    <n v="377"/>
    <s v="iPhone 12"/>
    <s v="iOS"/>
    <n v="65"/>
    <n v="1.7"/>
    <n v="490"/>
    <n v="17"/>
    <n v="122"/>
    <n v="51"/>
    <s v="40+"/>
    <s v="Female"/>
    <n v="1"/>
    <x v="0"/>
    <x v="1"/>
    <x v="0"/>
    <x v="0"/>
  </r>
  <r>
    <n v="378"/>
    <s v="Google Pixel 5"/>
    <s v="Android"/>
    <n v="458"/>
    <n v="6"/>
    <n v="1875"/>
    <n v="63"/>
    <n v="1072"/>
    <n v="31"/>
    <s v="25–40"/>
    <s v="Female"/>
    <n v="4"/>
    <x v="0"/>
    <x v="0"/>
    <x v="0"/>
    <x v="0"/>
  </r>
  <r>
    <n v="379"/>
    <s v="Samsung Galaxy S21"/>
    <s v="Android"/>
    <n v="525"/>
    <n v="10.8"/>
    <n v="2445"/>
    <n v="99"/>
    <n v="1623"/>
    <n v="57"/>
    <s v="40+"/>
    <s v="Male"/>
    <n v="5"/>
    <x v="0"/>
    <x v="0"/>
    <x v="1"/>
    <x v="1"/>
  </r>
  <r>
    <n v="380"/>
    <s v="OnePlus 9"/>
    <s v="Android"/>
    <n v="106"/>
    <n v="3"/>
    <n v="922"/>
    <n v="22"/>
    <n v="313"/>
    <n v="51"/>
    <s v="40+"/>
    <s v="Male"/>
    <n v="2"/>
    <x v="0"/>
    <x v="1"/>
    <x v="0"/>
    <x v="0"/>
  </r>
  <r>
    <n v="381"/>
    <s v="iPhone 12"/>
    <s v="iOS"/>
    <n v="188"/>
    <n v="4.5999999999999996"/>
    <n v="1767"/>
    <n v="47"/>
    <n v="653"/>
    <n v="34"/>
    <s v="25–40"/>
    <s v="Male"/>
    <n v="3"/>
    <x v="0"/>
    <x v="0"/>
    <x v="0"/>
    <x v="0"/>
  </r>
  <r>
    <n v="382"/>
    <s v="iPhone 12"/>
    <s v="iOS"/>
    <n v="493"/>
    <n v="10.4"/>
    <n v="2453"/>
    <n v="99"/>
    <n v="1813"/>
    <n v="39"/>
    <s v="25–40"/>
    <s v="Male"/>
    <n v="5"/>
    <x v="0"/>
    <x v="0"/>
    <x v="1"/>
    <x v="1"/>
  </r>
  <r>
    <n v="383"/>
    <s v="OnePlus 9"/>
    <s v="Android"/>
    <n v="84"/>
    <n v="1.5"/>
    <n v="373"/>
    <n v="19"/>
    <n v="299"/>
    <n v="37"/>
    <s v="25–40"/>
    <s v="Female"/>
    <n v="1"/>
    <x v="0"/>
    <x v="1"/>
    <x v="0"/>
    <x v="0"/>
  </r>
  <r>
    <n v="384"/>
    <s v="OnePlus 9"/>
    <s v="Android"/>
    <n v="104"/>
    <n v="2.9"/>
    <n v="653"/>
    <n v="35"/>
    <n v="322"/>
    <n v="30"/>
    <s v="25–40"/>
    <s v="Male"/>
    <n v="2"/>
    <x v="0"/>
    <x v="1"/>
    <x v="0"/>
    <x v="0"/>
  </r>
  <r>
    <n v="385"/>
    <s v="Samsung Galaxy S21"/>
    <s v="Android"/>
    <n v="102"/>
    <n v="3"/>
    <n v="890"/>
    <n v="38"/>
    <n v="548"/>
    <n v="28"/>
    <s v="25–40"/>
    <s v="Male"/>
    <n v="2"/>
    <x v="0"/>
    <x v="1"/>
    <x v="0"/>
    <x v="0"/>
  </r>
  <r>
    <n v="386"/>
    <s v="iPhone 12"/>
    <s v="iOS"/>
    <n v="349"/>
    <n v="6.6"/>
    <n v="2041"/>
    <n v="78"/>
    <n v="1096"/>
    <n v="40"/>
    <s v="25–40"/>
    <s v="Female"/>
    <n v="4"/>
    <x v="0"/>
    <x v="0"/>
    <x v="0"/>
    <x v="0"/>
  </r>
  <r>
    <n v="387"/>
    <s v="OnePlus 9"/>
    <s v="Android"/>
    <n v="98"/>
    <n v="2"/>
    <n v="925"/>
    <n v="32"/>
    <n v="457"/>
    <n v="28"/>
    <s v="25–40"/>
    <s v="Male"/>
    <n v="2"/>
    <x v="0"/>
    <x v="1"/>
    <x v="0"/>
    <x v="0"/>
  </r>
  <r>
    <n v="388"/>
    <s v="Samsung Galaxy S21"/>
    <s v="Android"/>
    <n v="72"/>
    <n v="1.3"/>
    <n v="461"/>
    <n v="13"/>
    <n v="199"/>
    <n v="32"/>
    <s v="25–40"/>
    <s v="Male"/>
    <n v="1"/>
    <x v="0"/>
    <x v="1"/>
    <x v="0"/>
    <x v="0"/>
  </r>
  <r>
    <n v="389"/>
    <s v="Xiaomi Mi 11"/>
    <s v="Android"/>
    <n v="563"/>
    <n v="11.6"/>
    <n v="2968"/>
    <n v="92"/>
    <n v="2191"/>
    <n v="34"/>
    <s v="25–40"/>
    <s v="Female"/>
    <n v="5"/>
    <x v="0"/>
    <x v="0"/>
    <x v="1"/>
    <x v="1"/>
  </r>
  <r>
    <n v="390"/>
    <s v="Xiaomi Mi 11"/>
    <s v="Android"/>
    <n v="119"/>
    <n v="2.8"/>
    <n v="775"/>
    <n v="31"/>
    <n v="313"/>
    <n v="50"/>
    <s v="40+"/>
    <s v="Female"/>
    <n v="2"/>
    <x v="0"/>
    <x v="1"/>
    <x v="0"/>
    <x v="0"/>
  </r>
  <r>
    <n v="391"/>
    <s v="OnePlus 9"/>
    <s v="Android"/>
    <n v="311"/>
    <n v="7.9"/>
    <n v="2231"/>
    <n v="69"/>
    <n v="1021"/>
    <n v="36"/>
    <s v="25–40"/>
    <s v="Male"/>
    <n v="4"/>
    <x v="0"/>
    <x v="0"/>
    <x v="0"/>
    <x v="1"/>
  </r>
  <r>
    <n v="392"/>
    <s v="OnePlus 9"/>
    <s v="Android"/>
    <n v="337"/>
    <n v="6.1"/>
    <n v="1901"/>
    <n v="76"/>
    <n v="1359"/>
    <n v="58"/>
    <s v="40+"/>
    <s v="Male"/>
    <n v="4"/>
    <x v="0"/>
    <x v="0"/>
    <x v="1"/>
    <x v="0"/>
  </r>
  <r>
    <n v="393"/>
    <s v="Samsung Galaxy S21"/>
    <s v="Android"/>
    <n v="168"/>
    <n v="3.5"/>
    <n v="1055"/>
    <n v="29"/>
    <n v="313"/>
    <n v="54"/>
    <s v="40+"/>
    <s v="Male"/>
    <n v="2"/>
    <x v="0"/>
    <x v="1"/>
    <x v="0"/>
    <x v="0"/>
  </r>
  <r>
    <n v="394"/>
    <s v="iPhone 12"/>
    <s v="iOS"/>
    <n v="331"/>
    <n v="7.4"/>
    <n v="2129"/>
    <n v="66"/>
    <n v="1459"/>
    <n v="53"/>
    <s v="40+"/>
    <s v="Male"/>
    <n v="4"/>
    <x v="0"/>
    <x v="0"/>
    <x v="1"/>
    <x v="0"/>
  </r>
  <r>
    <n v="395"/>
    <s v="Google Pixel 5"/>
    <s v="Android"/>
    <n v="589"/>
    <n v="9.1999999999999993"/>
    <n v="2663"/>
    <n v="84"/>
    <n v="1774"/>
    <n v="45"/>
    <s v="40+"/>
    <s v="Female"/>
    <n v="5"/>
    <x v="0"/>
    <x v="0"/>
    <x v="1"/>
    <x v="1"/>
  </r>
  <r>
    <n v="396"/>
    <s v="Xiaomi Mi 11"/>
    <s v="Android"/>
    <n v="472"/>
    <n v="6.8"/>
    <n v="2288"/>
    <n v="61"/>
    <n v="1356"/>
    <n v="52"/>
    <s v="40+"/>
    <s v="Male"/>
    <n v="4"/>
    <x v="0"/>
    <x v="0"/>
    <x v="1"/>
    <x v="1"/>
  </r>
  <r>
    <n v="397"/>
    <s v="Xiaomi Mi 11"/>
    <s v="Android"/>
    <n v="78"/>
    <n v="1.1000000000000001"/>
    <n v="437"/>
    <n v="14"/>
    <n v="143"/>
    <n v="27"/>
    <s v="25–40"/>
    <s v="Female"/>
    <n v="1"/>
    <x v="0"/>
    <x v="1"/>
    <x v="0"/>
    <x v="0"/>
  </r>
  <r>
    <n v="398"/>
    <s v="iPhone 12"/>
    <s v="iOS"/>
    <n v="517"/>
    <n v="11.6"/>
    <n v="2798"/>
    <n v="90"/>
    <n v="2175"/>
    <n v="20"/>
    <s v="&lt;25"/>
    <s v="Male"/>
    <n v="5"/>
    <x v="0"/>
    <x v="0"/>
    <x v="1"/>
    <x v="1"/>
  </r>
  <r>
    <n v="399"/>
    <s v="OnePlus 9"/>
    <s v="Android"/>
    <n v="41"/>
    <n v="1.6"/>
    <n v="323"/>
    <n v="18"/>
    <n v="221"/>
    <n v="43"/>
    <s v="40+"/>
    <s v="Female"/>
    <n v="1"/>
    <x v="1"/>
    <x v="2"/>
    <x v="0"/>
    <x v="0"/>
  </r>
  <r>
    <n v="400"/>
    <s v="OnePlus 9"/>
    <s v="Android"/>
    <n v="49"/>
    <n v="1.5"/>
    <n v="571"/>
    <n v="10"/>
    <n v="203"/>
    <n v="29"/>
    <s v="25–40"/>
    <s v="Male"/>
    <n v="1"/>
    <x v="1"/>
    <x v="2"/>
    <x v="0"/>
    <x v="0"/>
  </r>
  <r>
    <n v="401"/>
    <s v="Xiaomi Mi 11"/>
    <s v="Android"/>
    <n v="522"/>
    <n v="11.1"/>
    <n v="2821"/>
    <n v="86"/>
    <n v="1891"/>
    <n v="42"/>
    <s v="40+"/>
    <s v="Male"/>
    <n v="5"/>
    <x v="0"/>
    <x v="0"/>
    <x v="1"/>
    <x v="1"/>
  </r>
  <r>
    <n v="402"/>
    <s v="Google Pixel 5"/>
    <s v="Android"/>
    <n v="97"/>
    <n v="2.7"/>
    <n v="612"/>
    <n v="36"/>
    <n v="508"/>
    <n v="53"/>
    <s v="40+"/>
    <s v="Male"/>
    <n v="2"/>
    <x v="0"/>
    <x v="1"/>
    <x v="0"/>
    <x v="0"/>
  </r>
  <r>
    <n v="403"/>
    <s v="iPhone 12"/>
    <s v="iOS"/>
    <n v="411"/>
    <n v="7.4"/>
    <n v="1960"/>
    <n v="71"/>
    <n v="1264"/>
    <n v="40"/>
    <s v="25–40"/>
    <s v="Male"/>
    <n v="4"/>
    <x v="0"/>
    <x v="0"/>
    <x v="0"/>
    <x v="0"/>
  </r>
  <r>
    <n v="404"/>
    <s v="Samsung Galaxy S21"/>
    <s v="Android"/>
    <n v="566"/>
    <n v="8.6"/>
    <n v="2595"/>
    <n v="89"/>
    <n v="1657"/>
    <n v="51"/>
    <s v="40+"/>
    <s v="Female"/>
    <n v="5"/>
    <x v="0"/>
    <x v="0"/>
    <x v="1"/>
    <x v="1"/>
  </r>
  <r>
    <n v="405"/>
    <s v="iPhone 12"/>
    <s v="iOS"/>
    <n v="559"/>
    <n v="8.1999999999999993"/>
    <n v="2618"/>
    <n v="84"/>
    <n v="2102"/>
    <n v="22"/>
    <s v="&lt;25"/>
    <s v="Female"/>
    <n v="5"/>
    <x v="0"/>
    <x v="0"/>
    <x v="1"/>
    <x v="1"/>
  </r>
  <r>
    <n v="406"/>
    <s v="Google Pixel 5"/>
    <s v="Android"/>
    <n v="478"/>
    <n v="7.3"/>
    <n v="2340"/>
    <n v="69"/>
    <n v="1017"/>
    <n v="43"/>
    <s v="40+"/>
    <s v="Female"/>
    <n v="4"/>
    <x v="0"/>
    <x v="0"/>
    <x v="0"/>
    <x v="1"/>
  </r>
  <r>
    <n v="407"/>
    <s v="Xiaomi Mi 11"/>
    <s v="Android"/>
    <n v="147"/>
    <n v="3.2"/>
    <n v="994"/>
    <n v="33"/>
    <n v="567"/>
    <n v="25"/>
    <s v="25–40"/>
    <s v="Female"/>
    <n v="2"/>
    <x v="0"/>
    <x v="1"/>
    <x v="0"/>
    <x v="0"/>
  </r>
  <r>
    <n v="408"/>
    <s v="OnePlus 9"/>
    <s v="Android"/>
    <n v="395"/>
    <n v="7.3"/>
    <n v="2291"/>
    <n v="61"/>
    <n v="1049"/>
    <n v="55"/>
    <s v="40+"/>
    <s v="Female"/>
    <n v="4"/>
    <x v="0"/>
    <x v="0"/>
    <x v="0"/>
    <x v="1"/>
  </r>
  <r>
    <n v="409"/>
    <s v="Samsung Galaxy S21"/>
    <s v="Android"/>
    <n v="357"/>
    <n v="7.8"/>
    <n v="2289"/>
    <n v="74"/>
    <n v="1242"/>
    <n v="22"/>
    <s v="&lt;25"/>
    <s v="Female"/>
    <n v="4"/>
    <x v="0"/>
    <x v="0"/>
    <x v="0"/>
    <x v="1"/>
  </r>
  <r>
    <n v="410"/>
    <s v="Google Pixel 5"/>
    <s v="Android"/>
    <n v="405"/>
    <n v="6.9"/>
    <n v="2366"/>
    <n v="61"/>
    <n v="1434"/>
    <n v="51"/>
    <s v="40+"/>
    <s v="Male"/>
    <n v="4"/>
    <x v="0"/>
    <x v="0"/>
    <x v="1"/>
    <x v="1"/>
  </r>
  <r>
    <n v="411"/>
    <s v="Samsung Galaxy S21"/>
    <s v="Android"/>
    <n v="501"/>
    <n v="11.8"/>
    <n v="2790"/>
    <n v="86"/>
    <n v="2074"/>
    <n v="31"/>
    <s v="25–40"/>
    <s v="Female"/>
    <n v="5"/>
    <x v="0"/>
    <x v="0"/>
    <x v="1"/>
    <x v="1"/>
  </r>
  <r>
    <n v="412"/>
    <s v="Xiaomi Mi 11"/>
    <s v="Android"/>
    <n v="575"/>
    <n v="8.1999999999999993"/>
    <n v="2918"/>
    <n v="88"/>
    <n v="1928"/>
    <n v="50"/>
    <s v="40+"/>
    <s v="Male"/>
    <n v="5"/>
    <x v="0"/>
    <x v="0"/>
    <x v="1"/>
    <x v="1"/>
  </r>
  <r>
    <n v="413"/>
    <s v="OnePlus 9"/>
    <s v="Android"/>
    <n v="257"/>
    <n v="5.0999999999999996"/>
    <n v="1692"/>
    <n v="46"/>
    <n v="769"/>
    <n v="52"/>
    <s v="40+"/>
    <s v="Female"/>
    <n v="3"/>
    <x v="0"/>
    <x v="0"/>
    <x v="0"/>
    <x v="0"/>
  </r>
  <r>
    <n v="414"/>
    <s v="iPhone 12"/>
    <s v="iOS"/>
    <n v="270"/>
    <n v="5"/>
    <n v="1532"/>
    <n v="51"/>
    <n v="957"/>
    <n v="35"/>
    <s v="25–40"/>
    <s v="Male"/>
    <n v="3"/>
    <x v="0"/>
    <x v="0"/>
    <x v="0"/>
    <x v="0"/>
  </r>
  <r>
    <n v="415"/>
    <s v="Google Pixel 5"/>
    <s v="Android"/>
    <n v="116"/>
    <n v="2"/>
    <n v="1171"/>
    <n v="22"/>
    <n v="573"/>
    <n v="33"/>
    <s v="25–40"/>
    <s v="Female"/>
    <n v="2"/>
    <x v="0"/>
    <x v="1"/>
    <x v="0"/>
    <x v="0"/>
  </r>
  <r>
    <n v="416"/>
    <s v="iPhone 12"/>
    <s v="iOS"/>
    <n v="98"/>
    <n v="2.2999999999999998"/>
    <n v="608"/>
    <n v="24"/>
    <n v="394"/>
    <n v="56"/>
    <s v="40+"/>
    <s v="Male"/>
    <n v="2"/>
    <x v="0"/>
    <x v="1"/>
    <x v="0"/>
    <x v="0"/>
  </r>
  <r>
    <n v="417"/>
    <s v="Xiaomi Mi 11"/>
    <s v="Android"/>
    <n v="264"/>
    <n v="5.0999999999999996"/>
    <n v="1293"/>
    <n v="52"/>
    <n v="737"/>
    <n v="27"/>
    <s v="25–40"/>
    <s v="Female"/>
    <n v="3"/>
    <x v="0"/>
    <x v="0"/>
    <x v="0"/>
    <x v="0"/>
  </r>
  <r>
    <n v="418"/>
    <s v="Samsung Galaxy S21"/>
    <s v="Android"/>
    <n v="572"/>
    <n v="11.7"/>
    <n v="2655"/>
    <n v="91"/>
    <n v="2481"/>
    <n v="57"/>
    <s v="40+"/>
    <s v="Female"/>
    <n v="5"/>
    <x v="0"/>
    <x v="0"/>
    <x v="1"/>
    <x v="1"/>
  </r>
  <r>
    <n v="419"/>
    <s v="Xiaomi Mi 11"/>
    <s v="Android"/>
    <n v="202"/>
    <n v="4.9000000000000004"/>
    <n v="1549"/>
    <n v="43"/>
    <n v="964"/>
    <n v="27"/>
    <s v="25–40"/>
    <s v="Female"/>
    <n v="3"/>
    <x v="0"/>
    <x v="0"/>
    <x v="0"/>
    <x v="0"/>
  </r>
  <r>
    <n v="420"/>
    <s v="iPhone 12"/>
    <s v="iOS"/>
    <n v="83"/>
    <n v="1.4"/>
    <n v="454"/>
    <n v="11"/>
    <n v="228"/>
    <n v="46"/>
    <s v="40+"/>
    <s v="Male"/>
    <n v="1"/>
    <x v="0"/>
    <x v="1"/>
    <x v="0"/>
    <x v="0"/>
  </r>
  <r>
    <n v="421"/>
    <s v="iPhone 12"/>
    <s v="iOS"/>
    <n v="32"/>
    <n v="1.4"/>
    <n v="416"/>
    <n v="12"/>
    <n v="198"/>
    <n v="56"/>
    <s v="40+"/>
    <s v="Male"/>
    <n v="1"/>
    <x v="1"/>
    <x v="2"/>
    <x v="0"/>
    <x v="0"/>
  </r>
  <r>
    <n v="422"/>
    <s v="iPhone 12"/>
    <s v="iOS"/>
    <n v="168"/>
    <n v="3.2"/>
    <n v="716"/>
    <n v="38"/>
    <n v="414"/>
    <n v="43"/>
    <s v="40+"/>
    <s v="Male"/>
    <n v="2"/>
    <x v="0"/>
    <x v="1"/>
    <x v="0"/>
    <x v="0"/>
  </r>
  <r>
    <n v="423"/>
    <s v="iPhone 12"/>
    <s v="iOS"/>
    <n v="416"/>
    <n v="6.1"/>
    <n v="2115"/>
    <n v="71"/>
    <n v="1041"/>
    <n v="22"/>
    <s v="&lt;25"/>
    <s v="Female"/>
    <n v="4"/>
    <x v="0"/>
    <x v="0"/>
    <x v="0"/>
    <x v="0"/>
  </r>
  <r>
    <n v="424"/>
    <s v="Xiaomi Mi 11"/>
    <s v="Android"/>
    <n v="46"/>
    <n v="1.1000000000000001"/>
    <n v="536"/>
    <n v="18"/>
    <n v="167"/>
    <n v="28"/>
    <s v="25–40"/>
    <s v="Female"/>
    <n v="1"/>
    <x v="1"/>
    <x v="2"/>
    <x v="0"/>
    <x v="0"/>
  </r>
  <r>
    <n v="425"/>
    <s v="OnePlus 9"/>
    <s v="Android"/>
    <n v="201"/>
    <n v="5"/>
    <n v="1482"/>
    <n v="59"/>
    <n v="709"/>
    <n v="24"/>
    <s v="&lt;25"/>
    <s v="Male"/>
    <n v="3"/>
    <x v="0"/>
    <x v="0"/>
    <x v="0"/>
    <x v="0"/>
  </r>
  <r>
    <n v="426"/>
    <s v="Samsung Galaxy S21"/>
    <s v="Android"/>
    <n v="130"/>
    <n v="2.8"/>
    <n v="1062"/>
    <n v="24"/>
    <n v="579"/>
    <n v="37"/>
    <s v="25–40"/>
    <s v="Male"/>
    <n v="2"/>
    <x v="0"/>
    <x v="1"/>
    <x v="0"/>
    <x v="0"/>
  </r>
  <r>
    <n v="427"/>
    <s v="OnePlus 9"/>
    <s v="Android"/>
    <n v="98"/>
    <n v="2.4"/>
    <n v="747"/>
    <n v="36"/>
    <n v="403"/>
    <n v="44"/>
    <s v="40+"/>
    <s v="Female"/>
    <n v="2"/>
    <x v="0"/>
    <x v="1"/>
    <x v="0"/>
    <x v="0"/>
  </r>
  <r>
    <n v="428"/>
    <s v="OnePlus 9"/>
    <s v="Android"/>
    <n v="105"/>
    <n v="3.8"/>
    <n v="967"/>
    <n v="28"/>
    <n v="489"/>
    <n v="51"/>
    <s v="40+"/>
    <s v="Male"/>
    <n v="2"/>
    <x v="0"/>
    <x v="1"/>
    <x v="0"/>
    <x v="0"/>
  </r>
  <r>
    <n v="429"/>
    <s v="Xiaomi Mi 11"/>
    <s v="Android"/>
    <n v="94"/>
    <n v="2.2999999999999998"/>
    <n v="1033"/>
    <n v="33"/>
    <n v="369"/>
    <n v="58"/>
    <s v="40+"/>
    <s v="Male"/>
    <n v="2"/>
    <x v="0"/>
    <x v="1"/>
    <x v="0"/>
    <x v="0"/>
  </r>
  <r>
    <n v="430"/>
    <s v="Xiaomi Mi 11"/>
    <s v="Android"/>
    <n v="540"/>
    <n v="10.1"/>
    <n v="2757"/>
    <n v="90"/>
    <n v="2180"/>
    <n v="37"/>
    <s v="25–40"/>
    <s v="Male"/>
    <n v="5"/>
    <x v="0"/>
    <x v="0"/>
    <x v="1"/>
    <x v="1"/>
  </r>
  <r>
    <n v="431"/>
    <s v="iPhone 12"/>
    <s v="iOS"/>
    <n v="266"/>
    <n v="5.5"/>
    <n v="1238"/>
    <n v="59"/>
    <n v="839"/>
    <n v="22"/>
    <s v="&lt;25"/>
    <s v="Male"/>
    <n v="3"/>
    <x v="0"/>
    <x v="0"/>
    <x v="0"/>
    <x v="0"/>
  </r>
  <r>
    <n v="432"/>
    <s v="iPhone 12"/>
    <s v="iOS"/>
    <n v="140"/>
    <n v="3.8"/>
    <n v="1137"/>
    <n v="36"/>
    <n v="506"/>
    <n v="53"/>
    <s v="40+"/>
    <s v="Male"/>
    <n v="2"/>
    <x v="0"/>
    <x v="1"/>
    <x v="0"/>
    <x v="0"/>
  </r>
  <r>
    <n v="433"/>
    <s v="Google Pixel 5"/>
    <s v="Android"/>
    <n v="534"/>
    <n v="10.4"/>
    <n v="2672"/>
    <n v="90"/>
    <n v="1702"/>
    <n v="51"/>
    <s v="40+"/>
    <s v="Male"/>
    <n v="5"/>
    <x v="0"/>
    <x v="0"/>
    <x v="1"/>
    <x v="1"/>
  </r>
  <r>
    <n v="434"/>
    <s v="OnePlus 9"/>
    <s v="Android"/>
    <n v="46"/>
    <n v="2"/>
    <n v="309"/>
    <n v="15"/>
    <n v="116"/>
    <n v="42"/>
    <s v="40+"/>
    <s v="Male"/>
    <n v="1"/>
    <x v="1"/>
    <x v="2"/>
    <x v="0"/>
    <x v="0"/>
  </r>
  <r>
    <n v="435"/>
    <s v="iPhone 12"/>
    <s v="iOS"/>
    <n v="581"/>
    <n v="8.4"/>
    <n v="2591"/>
    <n v="99"/>
    <n v="2304"/>
    <n v="58"/>
    <s v="40+"/>
    <s v="Male"/>
    <n v="5"/>
    <x v="0"/>
    <x v="0"/>
    <x v="1"/>
    <x v="1"/>
  </r>
  <r>
    <n v="436"/>
    <s v="Xiaomi Mi 11"/>
    <s v="Android"/>
    <n v="105"/>
    <n v="3.4"/>
    <n v="798"/>
    <n v="21"/>
    <n v="467"/>
    <n v="34"/>
    <s v="25–40"/>
    <s v="Female"/>
    <n v="2"/>
    <x v="0"/>
    <x v="1"/>
    <x v="0"/>
    <x v="0"/>
  </r>
  <r>
    <n v="437"/>
    <s v="OnePlus 9"/>
    <s v="Android"/>
    <n v="221"/>
    <n v="4.4000000000000004"/>
    <n v="1341"/>
    <n v="46"/>
    <n v="862"/>
    <n v="20"/>
    <s v="&lt;25"/>
    <s v="Male"/>
    <n v="3"/>
    <x v="0"/>
    <x v="0"/>
    <x v="0"/>
    <x v="0"/>
  </r>
  <r>
    <n v="438"/>
    <s v="iPhone 12"/>
    <s v="iOS"/>
    <n v="41"/>
    <n v="1.7"/>
    <n v="408"/>
    <n v="16"/>
    <n v="291"/>
    <n v="34"/>
    <s v="25–40"/>
    <s v="Male"/>
    <n v="1"/>
    <x v="1"/>
    <x v="2"/>
    <x v="0"/>
    <x v="0"/>
  </r>
  <r>
    <n v="439"/>
    <s v="OnePlus 9"/>
    <s v="Android"/>
    <n v="105"/>
    <n v="3"/>
    <n v="728"/>
    <n v="24"/>
    <n v="343"/>
    <n v="52"/>
    <s v="40+"/>
    <s v="Female"/>
    <n v="2"/>
    <x v="0"/>
    <x v="1"/>
    <x v="0"/>
    <x v="0"/>
  </r>
  <r>
    <n v="440"/>
    <s v="Google Pixel 5"/>
    <s v="Android"/>
    <n v="123"/>
    <n v="3.9"/>
    <n v="915"/>
    <n v="39"/>
    <n v="468"/>
    <n v="18"/>
    <s v="&lt;25"/>
    <s v="Male"/>
    <n v="2"/>
    <x v="0"/>
    <x v="1"/>
    <x v="0"/>
    <x v="0"/>
  </r>
  <r>
    <n v="441"/>
    <s v="Google Pixel 5"/>
    <s v="Android"/>
    <n v="260"/>
    <n v="5.7"/>
    <n v="1725"/>
    <n v="56"/>
    <n v="920"/>
    <n v="36"/>
    <s v="25–40"/>
    <s v="Female"/>
    <n v="3"/>
    <x v="0"/>
    <x v="0"/>
    <x v="0"/>
    <x v="0"/>
  </r>
  <r>
    <n v="442"/>
    <s v="Samsung Galaxy S21"/>
    <s v="Android"/>
    <n v="223"/>
    <n v="5.7"/>
    <n v="1295"/>
    <n v="44"/>
    <n v="751"/>
    <n v="39"/>
    <s v="25–40"/>
    <s v="Male"/>
    <n v="3"/>
    <x v="0"/>
    <x v="0"/>
    <x v="0"/>
    <x v="0"/>
  </r>
  <r>
    <n v="443"/>
    <s v="Google Pixel 5"/>
    <s v="Android"/>
    <n v="66"/>
    <n v="1.1000000000000001"/>
    <n v="505"/>
    <n v="17"/>
    <n v="218"/>
    <n v="33"/>
    <s v="25–40"/>
    <s v="Male"/>
    <n v="1"/>
    <x v="0"/>
    <x v="1"/>
    <x v="0"/>
    <x v="0"/>
  </r>
  <r>
    <n v="444"/>
    <s v="iPhone 12"/>
    <s v="iOS"/>
    <n v="231"/>
    <n v="4"/>
    <n v="1664"/>
    <n v="48"/>
    <n v="724"/>
    <n v="29"/>
    <s v="25–40"/>
    <s v="Female"/>
    <n v="3"/>
    <x v="0"/>
    <x v="0"/>
    <x v="0"/>
    <x v="0"/>
  </r>
  <r>
    <n v="445"/>
    <s v="iPhone 12"/>
    <s v="iOS"/>
    <n v="555"/>
    <n v="8.8000000000000007"/>
    <n v="2540"/>
    <n v="97"/>
    <n v="2402"/>
    <n v="22"/>
    <s v="&lt;25"/>
    <s v="Male"/>
    <n v="5"/>
    <x v="0"/>
    <x v="0"/>
    <x v="1"/>
    <x v="1"/>
  </r>
  <r>
    <n v="446"/>
    <s v="Samsung Galaxy S21"/>
    <s v="Android"/>
    <n v="378"/>
    <n v="7.2"/>
    <n v="1859"/>
    <n v="61"/>
    <n v="1318"/>
    <n v="58"/>
    <s v="40+"/>
    <s v="Male"/>
    <n v="4"/>
    <x v="0"/>
    <x v="0"/>
    <x v="0"/>
    <x v="0"/>
  </r>
  <r>
    <n v="447"/>
    <s v="OnePlus 9"/>
    <s v="Android"/>
    <n v="546"/>
    <n v="8.8000000000000007"/>
    <n v="2852"/>
    <n v="81"/>
    <n v="1641"/>
    <n v="24"/>
    <s v="&lt;25"/>
    <s v="Male"/>
    <n v="5"/>
    <x v="0"/>
    <x v="0"/>
    <x v="1"/>
    <x v="1"/>
  </r>
  <r>
    <n v="448"/>
    <s v="Samsung Galaxy S21"/>
    <s v="Android"/>
    <n v="234"/>
    <n v="5.2"/>
    <n v="1604"/>
    <n v="58"/>
    <n v="919"/>
    <n v="58"/>
    <s v="40+"/>
    <s v="Male"/>
    <n v="3"/>
    <x v="0"/>
    <x v="0"/>
    <x v="0"/>
    <x v="0"/>
  </r>
  <r>
    <n v="449"/>
    <s v="Samsung Galaxy S21"/>
    <s v="Android"/>
    <n v="152"/>
    <n v="3"/>
    <n v="617"/>
    <n v="22"/>
    <n v="306"/>
    <n v="22"/>
    <s v="&lt;25"/>
    <s v="Female"/>
    <n v="2"/>
    <x v="0"/>
    <x v="1"/>
    <x v="0"/>
    <x v="0"/>
  </r>
  <r>
    <n v="450"/>
    <s v="Google Pixel 5"/>
    <s v="Android"/>
    <n v="34"/>
    <n v="1.2"/>
    <n v="518"/>
    <n v="10"/>
    <n v="170"/>
    <n v="20"/>
    <s v="&lt;25"/>
    <s v="Female"/>
    <n v="1"/>
    <x v="1"/>
    <x v="2"/>
    <x v="0"/>
    <x v="0"/>
  </r>
  <r>
    <n v="451"/>
    <s v="Samsung Galaxy S21"/>
    <s v="Android"/>
    <n v="179"/>
    <n v="3.5"/>
    <n v="1114"/>
    <n v="30"/>
    <n v="466"/>
    <n v="56"/>
    <s v="40+"/>
    <s v="Male"/>
    <n v="2"/>
    <x v="0"/>
    <x v="1"/>
    <x v="0"/>
    <x v="0"/>
  </r>
  <r>
    <n v="452"/>
    <s v="OnePlus 9"/>
    <s v="Android"/>
    <n v="591"/>
    <n v="11.8"/>
    <n v="2953"/>
    <n v="92"/>
    <n v="1903"/>
    <n v="52"/>
    <s v="40+"/>
    <s v="Male"/>
    <n v="5"/>
    <x v="0"/>
    <x v="0"/>
    <x v="1"/>
    <x v="1"/>
  </r>
  <r>
    <n v="453"/>
    <s v="Samsung Galaxy S21"/>
    <s v="Android"/>
    <n v="120"/>
    <n v="3.3"/>
    <n v="734"/>
    <n v="35"/>
    <n v="583"/>
    <n v="26"/>
    <s v="25–40"/>
    <s v="Male"/>
    <n v="2"/>
    <x v="0"/>
    <x v="1"/>
    <x v="0"/>
    <x v="0"/>
  </r>
  <r>
    <n v="454"/>
    <s v="Google Pixel 5"/>
    <s v="Android"/>
    <n v="88"/>
    <n v="1.3"/>
    <n v="557"/>
    <n v="13"/>
    <n v="164"/>
    <n v="43"/>
    <s v="40+"/>
    <s v="Male"/>
    <n v="1"/>
    <x v="0"/>
    <x v="1"/>
    <x v="0"/>
    <x v="0"/>
  </r>
  <r>
    <n v="455"/>
    <s v="iPhone 12"/>
    <s v="iOS"/>
    <n v="143"/>
    <n v="3.9"/>
    <n v="1160"/>
    <n v="24"/>
    <n v="398"/>
    <n v="45"/>
    <s v="40+"/>
    <s v="Male"/>
    <n v="2"/>
    <x v="0"/>
    <x v="1"/>
    <x v="0"/>
    <x v="0"/>
  </r>
  <r>
    <n v="456"/>
    <s v="iPhone 12"/>
    <s v="iOS"/>
    <n v="74"/>
    <n v="1.6"/>
    <n v="436"/>
    <n v="13"/>
    <n v="182"/>
    <n v="27"/>
    <s v="25–40"/>
    <s v="Female"/>
    <n v="1"/>
    <x v="0"/>
    <x v="1"/>
    <x v="0"/>
    <x v="0"/>
  </r>
  <r>
    <n v="457"/>
    <s v="iPhone 12"/>
    <s v="iOS"/>
    <n v="74"/>
    <n v="1.6"/>
    <n v="587"/>
    <n v="15"/>
    <n v="275"/>
    <n v="27"/>
    <s v="25–40"/>
    <s v="Female"/>
    <n v="1"/>
    <x v="0"/>
    <x v="1"/>
    <x v="0"/>
    <x v="0"/>
  </r>
  <r>
    <n v="458"/>
    <s v="OnePlus 9"/>
    <s v="Android"/>
    <n v="234"/>
    <n v="4.7"/>
    <n v="1707"/>
    <n v="55"/>
    <n v="871"/>
    <n v="46"/>
    <s v="40+"/>
    <s v="Male"/>
    <n v="3"/>
    <x v="0"/>
    <x v="0"/>
    <x v="0"/>
    <x v="0"/>
  </r>
  <r>
    <n v="459"/>
    <s v="iPhone 12"/>
    <s v="iOS"/>
    <n v="56"/>
    <n v="1"/>
    <n v="547"/>
    <n v="10"/>
    <n v="142"/>
    <n v="58"/>
    <s v="40+"/>
    <s v="Female"/>
    <n v="1"/>
    <x v="1"/>
    <x v="2"/>
    <x v="0"/>
    <x v="0"/>
  </r>
  <r>
    <n v="460"/>
    <s v="OnePlus 9"/>
    <s v="Android"/>
    <n v="174"/>
    <n v="2.4"/>
    <n v="639"/>
    <n v="37"/>
    <n v="545"/>
    <n v="50"/>
    <s v="40+"/>
    <s v="Male"/>
    <n v="2"/>
    <x v="0"/>
    <x v="1"/>
    <x v="0"/>
    <x v="0"/>
  </r>
  <r>
    <n v="461"/>
    <s v="Samsung Galaxy S21"/>
    <s v="Android"/>
    <n v="523"/>
    <n v="9"/>
    <n v="2696"/>
    <n v="91"/>
    <n v="1561"/>
    <n v="20"/>
    <s v="&lt;25"/>
    <s v="Female"/>
    <n v="5"/>
    <x v="0"/>
    <x v="0"/>
    <x v="1"/>
    <x v="1"/>
  </r>
  <r>
    <n v="462"/>
    <s v="Samsung Galaxy S21"/>
    <s v="Android"/>
    <n v="123"/>
    <n v="3.3"/>
    <n v="938"/>
    <n v="36"/>
    <n v="438"/>
    <n v="55"/>
    <s v="40+"/>
    <s v="Male"/>
    <n v="2"/>
    <x v="0"/>
    <x v="1"/>
    <x v="0"/>
    <x v="0"/>
  </r>
  <r>
    <n v="463"/>
    <s v="Samsung Galaxy S21"/>
    <s v="Android"/>
    <n v="216"/>
    <n v="5.9"/>
    <n v="1789"/>
    <n v="54"/>
    <n v="987"/>
    <n v="55"/>
    <s v="40+"/>
    <s v="Male"/>
    <n v="3"/>
    <x v="0"/>
    <x v="0"/>
    <x v="0"/>
    <x v="0"/>
  </r>
  <r>
    <n v="464"/>
    <s v="iPhone 12"/>
    <s v="iOS"/>
    <n v="290"/>
    <n v="4.5999999999999996"/>
    <n v="1694"/>
    <n v="50"/>
    <n v="809"/>
    <n v="23"/>
    <s v="&lt;25"/>
    <s v="Male"/>
    <n v="3"/>
    <x v="0"/>
    <x v="0"/>
    <x v="0"/>
    <x v="0"/>
  </r>
  <r>
    <n v="465"/>
    <s v="Xiaomi Mi 11"/>
    <s v="Android"/>
    <n v="68"/>
    <n v="1.3"/>
    <n v="583"/>
    <n v="10"/>
    <n v="281"/>
    <n v="26"/>
    <s v="25–40"/>
    <s v="Female"/>
    <n v="1"/>
    <x v="0"/>
    <x v="1"/>
    <x v="0"/>
    <x v="0"/>
  </r>
  <r>
    <n v="466"/>
    <s v="OnePlus 9"/>
    <s v="Android"/>
    <n v="265"/>
    <n v="4.8"/>
    <n v="1770"/>
    <n v="51"/>
    <n v="723"/>
    <n v="55"/>
    <s v="40+"/>
    <s v="Female"/>
    <n v="3"/>
    <x v="0"/>
    <x v="0"/>
    <x v="0"/>
    <x v="0"/>
  </r>
  <r>
    <n v="467"/>
    <s v="Samsung Galaxy S21"/>
    <s v="Android"/>
    <n v="414"/>
    <n v="7.3"/>
    <n v="2349"/>
    <n v="75"/>
    <n v="1092"/>
    <n v="51"/>
    <s v="40+"/>
    <s v="Male"/>
    <n v="4"/>
    <x v="0"/>
    <x v="0"/>
    <x v="0"/>
    <x v="1"/>
  </r>
  <r>
    <n v="468"/>
    <s v="Google Pixel 5"/>
    <s v="Android"/>
    <n v="238"/>
    <n v="4"/>
    <n v="1414"/>
    <n v="47"/>
    <n v="661"/>
    <n v="41"/>
    <s v="40+"/>
    <s v="Female"/>
    <n v="3"/>
    <x v="0"/>
    <x v="0"/>
    <x v="0"/>
    <x v="0"/>
  </r>
  <r>
    <n v="469"/>
    <s v="Xiaomi Mi 11"/>
    <s v="Android"/>
    <n v="429"/>
    <n v="7.5"/>
    <n v="1921"/>
    <n v="61"/>
    <n v="1102"/>
    <n v="46"/>
    <s v="40+"/>
    <s v="Male"/>
    <n v="4"/>
    <x v="0"/>
    <x v="0"/>
    <x v="0"/>
    <x v="0"/>
  </r>
  <r>
    <n v="470"/>
    <s v="Xiaomi Mi 11"/>
    <s v="Android"/>
    <n v="39"/>
    <n v="1.9"/>
    <n v="541"/>
    <n v="16"/>
    <n v="294"/>
    <n v="37"/>
    <s v="25–40"/>
    <s v="Male"/>
    <n v="1"/>
    <x v="1"/>
    <x v="2"/>
    <x v="0"/>
    <x v="0"/>
  </r>
  <r>
    <n v="471"/>
    <s v="Samsung Galaxy S21"/>
    <s v="Android"/>
    <n v="248"/>
    <n v="4.5999999999999996"/>
    <n v="1396"/>
    <n v="52"/>
    <n v="883"/>
    <n v="40"/>
    <s v="25–40"/>
    <s v="Male"/>
    <n v="3"/>
    <x v="0"/>
    <x v="0"/>
    <x v="0"/>
    <x v="0"/>
  </r>
  <r>
    <n v="472"/>
    <s v="Xiaomi Mi 11"/>
    <s v="Android"/>
    <n v="541"/>
    <n v="9.4"/>
    <n v="2452"/>
    <n v="93"/>
    <n v="1811"/>
    <n v="53"/>
    <s v="40+"/>
    <s v="Female"/>
    <n v="5"/>
    <x v="0"/>
    <x v="0"/>
    <x v="1"/>
    <x v="1"/>
  </r>
  <r>
    <n v="473"/>
    <s v="Xiaomi Mi 11"/>
    <s v="Android"/>
    <n v="139"/>
    <n v="3"/>
    <n v="697"/>
    <n v="37"/>
    <n v="513"/>
    <n v="26"/>
    <s v="25–40"/>
    <s v="Female"/>
    <n v="2"/>
    <x v="0"/>
    <x v="1"/>
    <x v="0"/>
    <x v="0"/>
  </r>
  <r>
    <n v="474"/>
    <s v="iPhone 12"/>
    <s v="iOS"/>
    <n v="289"/>
    <n v="5"/>
    <n v="1625"/>
    <n v="45"/>
    <n v="687"/>
    <n v="29"/>
    <s v="25–40"/>
    <s v="Male"/>
    <n v="3"/>
    <x v="0"/>
    <x v="0"/>
    <x v="0"/>
    <x v="0"/>
  </r>
  <r>
    <n v="475"/>
    <s v="Xiaomi Mi 11"/>
    <s v="Android"/>
    <n v="210"/>
    <n v="4.9000000000000004"/>
    <n v="1657"/>
    <n v="55"/>
    <n v="765"/>
    <n v="49"/>
    <s v="40+"/>
    <s v="Female"/>
    <n v="3"/>
    <x v="0"/>
    <x v="0"/>
    <x v="0"/>
    <x v="0"/>
  </r>
  <r>
    <n v="476"/>
    <s v="Samsung Galaxy S21"/>
    <s v="Android"/>
    <n v="412"/>
    <n v="6.2"/>
    <n v="2201"/>
    <n v="68"/>
    <n v="1085"/>
    <n v="54"/>
    <s v="40+"/>
    <s v="Female"/>
    <n v="4"/>
    <x v="0"/>
    <x v="0"/>
    <x v="0"/>
    <x v="0"/>
  </r>
  <r>
    <n v="477"/>
    <s v="Google Pixel 5"/>
    <s v="Android"/>
    <n v="318"/>
    <n v="6.6"/>
    <n v="2089"/>
    <n v="77"/>
    <n v="1126"/>
    <n v="49"/>
    <s v="40+"/>
    <s v="Female"/>
    <n v="4"/>
    <x v="0"/>
    <x v="0"/>
    <x v="0"/>
    <x v="0"/>
  </r>
  <r>
    <n v="478"/>
    <s v="iPhone 12"/>
    <s v="iOS"/>
    <n v="258"/>
    <n v="4.2"/>
    <n v="1315"/>
    <n v="44"/>
    <n v="762"/>
    <n v="59"/>
    <s v="40+"/>
    <s v="Female"/>
    <n v="3"/>
    <x v="0"/>
    <x v="0"/>
    <x v="0"/>
    <x v="0"/>
  </r>
  <r>
    <n v="479"/>
    <s v="OnePlus 9"/>
    <s v="Android"/>
    <n v="258"/>
    <n v="4.3"/>
    <n v="1759"/>
    <n v="59"/>
    <n v="718"/>
    <n v="41"/>
    <s v="40+"/>
    <s v="Female"/>
    <n v="3"/>
    <x v="0"/>
    <x v="0"/>
    <x v="0"/>
    <x v="0"/>
  </r>
  <r>
    <n v="480"/>
    <s v="Samsung Galaxy S21"/>
    <s v="Android"/>
    <n v="189"/>
    <n v="4.8"/>
    <n v="1681"/>
    <n v="59"/>
    <n v="795"/>
    <n v="57"/>
    <s v="40+"/>
    <s v="Male"/>
    <n v="3"/>
    <x v="0"/>
    <x v="0"/>
    <x v="0"/>
    <x v="0"/>
  </r>
  <r>
    <n v="481"/>
    <s v="iPhone 12"/>
    <s v="iOS"/>
    <n v="155"/>
    <n v="2.4"/>
    <n v="954"/>
    <n v="39"/>
    <n v="441"/>
    <n v="51"/>
    <s v="40+"/>
    <s v="Male"/>
    <n v="2"/>
    <x v="0"/>
    <x v="1"/>
    <x v="0"/>
    <x v="0"/>
  </r>
  <r>
    <n v="482"/>
    <s v="Samsung Galaxy S21"/>
    <s v="Android"/>
    <n v="528"/>
    <n v="10.4"/>
    <n v="2717"/>
    <n v="87"/>
    <n v="2140"/>
    <n v="34"/>
    <s v="25–40"/>
    <s v="Male"/>
    <n v="5"/>
    <x v="0"/>
    <x v="0"/>
    <x v="1"/>
    <x v="1"/>
  </r>
  <r>
    <n v="483"/>
    <s v="iPhone 12"/>
    <s v="iOS"/>
    <n v="549"/>
    <n v="11.1"/>
    <n v="2851"/>
    <n v="87"/>
    <n v="1814"/>
    <n v="56"/>
    <s v="40+"/>
    <s v="Male"/>
    <n v="5"/>
    <x v="0"/>
    <x v="0"/>
    <x v="1"/>
    <x v="1"/>
  </r>
  <r>
    <n v="484"/>
    <s v="Xiaomi Mi 11"/>
    <s v="Android"/>
    <n v="78"/>
    <n v="1.6"/>
    <n v="470"/>
    <n v="18"/>
    <n v="230"/>
    <n v="49"/>
    <s v="40+"/>
    <s v="Female"/>
    <n v="1"/>
    <x v="0"/>
    <x v="1"/>
    <x v="0"/>
    <x v="0"/>
  </r>
  <r>
    <n v="485"/>
    <s v="iPhone 12"/>
    <s v="iOS"/>
    <n v="444"/>
    <n v="6"/>
    <n v="1873"/>
    <n v="61"/>
    <n v="1093"/>
    <n v="39"/>
    <s v="25–40"/>
    <s v="Female"/>
    <n v="4"/>
    <x v="0"/>
    <x v="0"/>
    <x v="0"/>
    <x v="0"/>
  </r>
  <r>
    <n v="486"/>
    <s v="Xiaomi Mi 11"/>
    <s v="Android"/>
    <n v="80"/>
    <n v="1.1000000000000001"/>
    <n v="417"/>
    <n v="18"/>
    <n v="298"/>
    <n v="36"/>
    <s v="25–40"/>
    <s v="Male"/>
    <n v="1"/>
    <x v="0"/>
    <x v="1"/>
    <x v="0"/>
    <x v="0"/>
  </r>
  <r>
    <n v="487"/>
    <s v="iPhone 12"/>
    <s v="iOS"/>
    <n v="131"/>
    <n v="3.8"/>
    <n v="739"/>
    <n v="34"/>
    <n v="330"/>
    <n v="57"/>
    <s v="40+"/>
    <s v="Female"/>
    <n v="2"/>
    <x v="0"/>
    <x v="1"/>
    <x v="0"/>
    <x v="0"/>
  </r>
  <r>
    <n v="488"/>
    <s v="iPhone 12"/>
    <s v="iOS"/>
    <n v="228"/>
    <n v="4.4000000000000004"/>
    <n v="1734"/>
    <n v="46"/>
    <n v="804"/>
    <n v="57"/>
    <s v="40+"/>
    <s v="Female"/>
    <n v="3"/>
    <x v="0"/>
    <x v="0"/>
    <x v="0"/>
    <x v="0"/>
  </r>
  <r>
    <n v="489"/>
    <s v="Xiaomi Mi 11"/>
    <s v="Android"/>
    <n v="416"/>
    <n v="7.3"/>
    <n v="1882"/>
    <n v="62"/>
    <n v="1333"/>
    <n v="32"/>
    <s v="25–40"/>
    <s v="Female"/>
    <n v="4"/>
    <x v="0"/>
    <x v="0"/>
    <x v="0"/>
    <x v="0"/>
  </r>
  <r>
    <n v="490"/>
    <s v="Google Pixel 5"/>
    <s v="Android"/>
    <n v="586"/>
    <n v="9.3000000000000007"/>
    <n v="2403"/>
    <n v="94"/>
    <n v="2332"/>
    <n v="21"/>
    <s v="&lt;25"/>
    <s v="Male"/>
    <n v="5"/>
    <x v="0"/>
    <x v="0"/>
    <x v="1"/>
    <x v="1"/>
  </r>
  <r>
    <n v="491"/>
    <s v="Google Pixel 5"/>
    <s v="Android"/>
    <n v="416"/>
    <n v="6.1"/>
    <n v="2279"/>
    <n v="71"/>
    <n v="1096"/>
    <n v="47"/>
    <s v="40+"/>
    <s v="Male"/>
    <n v="4"/>
    <x v="0"/>
    <x v="0"/>
    <x v="0"/>
    <x v="1"/>
  </r>
  <r>
    <n v="492"/>
    <s v="iPhone 12"/>
    <s v="iOS"/>
    <n v="152"/>
    <n v="3.7"/>
    <n v="948"/>
    <n v="22"/>
    <n v="507"/>
    <n v="53"/>
    <s v="40+"/>
    <s v="Female"/>
    <n v="2"/>
    <x v="0"/>
    <x v="1"/>
    <x v="0"/>
    <x v="0"/>
  </r>
  <r>
    <n v="493"/>
    <s v="Xiaomi Mi 11"/>
    <s v="Android"/>
    <n v="87"/>
    <n v="1.5"/>
    <n v="594"/>
    <n v="19"/>
    <n v="198"/>
    <n v="36"/>
    <s v="25–40"/>
    <s v="Female"/>
    <n v="1"/>
    <x v="0"/>
    <x v="1"/>
    <x v="0"/>
    <x v="0"/>
  </r>
  <r>
    <n v="494"/>
    <s v="OnePlus 9"/>
    <s v="Android"/>
    <n v="329"/>
    <n v="6.8"/>
    <n v="1892"/>
    <n v="69"/>
    <n v="1383"/>
    <n v="23"/>
    <s v="&lt;25"/>
    <s v="Male"/>
    <n v="4"/>
    <x v="0"/>
    <x v="0"/>
    <x v="1"/>
    <x v="0"/>
  </r>
  <r>
    <n v="495"/>
    <s v="Samsung Galaxy S21"/>
    <s v="Android"/>
    <n v="107"/>
    <n v="2.5"/>
    <n v="1176"/>
    <n v="24"/>
    <n v="545"/>
    <n v="29"/>
    <s v="25–40"/>
    <s v="Female"/>
    <n v="2"/>
    <x v="0"/>
    <x v="1"/>
    <x v="0"/>
    <x v="0"/>
  </r>
  <r>
    <n v="496"/>
    <s v="Google Pixel 5"/>
    <s v="Android"/>
    <n v="493"/>
    <n v="10.9"/>
    <n v="2928"/>
    <n v="88"/>
    <n v="2116"/>
    <n v="57"/>
    <s v="40+"/>
    <s v="Male"/>
    <n v="5"/>
    <x v="0"/>
    <x v="0"/>
    <x v="1"/>
    <x v="1"/>
  </r>
  <r>
    <n v="497"/>
    <s v="iPhone 12"/>
    <s v="iOS"/>
    <n v="182"/>
    <n v="4.8"/>
    <n v="1500"/>
    <n v="51"/>
    <n v="807"/>
    <n v="43"/>
    <s v="40+"/>
    <s v="Female"/>
    <n v="3"/>
    <x v="0"/>
    <x v="0"/>
    <x v="0"/>
    <x v="0"/>
  </r>
  <r>
    <n v="498"/>
    <s v="iPhone 12"/>
    <s v="iOS"/>
    <n v="102"/>
    <n v="2.9"/>
    <n v="918"/>
    <n v="37"/>
    <n v="362"/>
    <n v="20"/>
    <s v="&lt;25"/>
    <s v="Female"/>
    <n v="2"/>
    <x v="0"/>
    <x v="1"/>
    <x v="0"/>
    <x v="0"/>
  </r>
  <r>
    <n v="499"/>
    <s v="Google Pixel 5"/>
    <s v="Android"/>
    <n v="274"/>
    <n v="4.5"/>
    <n v="1356"/>
    <n v="54"/>
    <n v="869"/>
    <n v="53"/>
    <s v="40+"/>
    <s v="Male"/>
    <n v="3"/>
    <x v="0"/>
    <x v="0"/>
    <x v="0"/>
    <x v="0"/>
  </r>
  <r>
    <n v="500"/>
    <s v="iPhone 12"/>
    <s v="iOS"/>
    <n v="143"/>
    <n v="3.6"/>
    <n v="988"/>
    <n v="26"/>
    <n v="504"/>
    <n v="45"/>
    <s v="40+"/>
    <s v="Female"/>
    <n v="2"/>
    <x v="0"/>
    <x v="1"/>
    <x v="0"/>
    <x v="0"/>
  </r>
  <r>
    <n v="501"/>
    <s v="Google Pixel 5"/>
    <s v="Android"/>
    <n v="66"/>
    <n v="1.3"/>
    <n v="369"/>
    <n v="14"/>
    <n v="195"/>
    <n v="32"/>
    <s v="25–40"/>
    <s v="Male"/>
    <n v="1"/>
    <x v="0"/>
    <x v="1"/>
    <x v="0"/>
    <x v="0"/>
  </r>
  <r>
    <n v="502"/>
    <s v="Xiaomi Mi 11"/>
    <s v="Android"/>
    <n v="420"/>
    <n v="7.7"/>
    <n v="2017"/>
    <n v="74"/>
    <n v="1187"/>
    <n v="24"/>
    <s v="&lt;25"/>
    <s v="Female"/>
    <n v="4"/>
    <x v="0"/>
    <x v="0"/>
    <x v="0"/>
    <x v="0"/>
  </r>
  <r>
    <n v="503"/>
    <s v="Xiaomi Mi 11"/>
    <s v="Android"/>
    <n v="582"/>
    <n v="8.4"/>
    <n v="2664"/>
    <n v="91"/>
    <n v="2493"/>
    <n v="55"/>
    <s v="40+"/>
    <s v="Female"/>
    <n v="5"/>
    <x v="0"/>
    <x v="0"/>
    <x v="1"/>
    <x v="1"/>
  </r>
  <r>
    <n v="504"/>
    <s v="Google Pixel 5"/>
    <s v="Android"/>
    <n v="200"/>
    <n v="5.8"/>
    <n v="1291"/>
    <n v="50"/>
    <n v="965"/>
    <n v="52"/>
    <s v="40+"/>
    <s v="Male"/>
    <n v="3"/>
    <x v="0"/>
    <x v="0"/>
    <x v="0"/>
    <x v="0"/>
  </r>
  <r>
    <n v="505"/>
    <s v="Google Pixel 5"/>
    <s v="Android"/>
    <n v="493"/>
    <n v="8.5"/>
    <n v="2859"/>
    <n v="99"/>
    <n v="2450"/>
    <n v="47"/>
    <s v="40+"/>
    <s v="Male"/>
    <n v="5"/>
    <x v="0"/>
    <x v="0"/>
    <x v="1"/>
    <x v="1"/>
  </r>
  <r>
    <n v="506"/>
    <s v="Samsung Galaxy S21"/>
    <s v="Android"/>
    <n v="348"/>
    <n v="6.6"/>
    <n v="2398"/>
    <n v="66"/>
    <n v="1415"/>
    <n v="49"/>
    <s v="40+"/>
    <s v="Female"/>
    <n v="4"/>
    <x v="0"/>
    <x v="0"/>
    <x v="1"/>
    <x v="1"/>
  </r>
  <r>
    <n v="507"/>
    <s v="Xiaomi Mi 11"/>
    <s v="Android"/>
    <n v="238"/>
    <n v="5.0999999999999996"/>
    <n v="1408"/>
    <n v="45"/>
    <n v="941"/>
    <n v="27"/>
    <s v="25–40"/>
    <s v="Male"/>
    <n v="3"/>
    <x v="0"/>
    <x v="0"/>
    <x v="0"/>
    <x v="0"/>
  </r>
  <r>
    <n v="508"/>
    <s v="Xiaomi Mi 11"/>
    <s v="Android"/>
    <n v="33"/>
    <n v="2"/>
    <n v="318"/>
    <n v="11"/>
    <n v="173"/>
    <n v="42"/>
    <s v="40+"/>
    <s v="Female"/>
    <n v="1"/>
    <x v="1"/>
    <x v="2"/>
    <x v="0"/>
    <x v="0"/>
  </r>
  <r>
    <n v="509"/>
    <s v="Google Pixel 5"/>
    <s v="Android"/>
    <n v="267"/>
    <n v="5.9"/>
    <n v="1740"/>
    <n v="45"/>
    <n v="791"/>
    <n v="22"/>
    <s v="&lt;25"/>
    <s v="Male"/>
    <n v="3"/>
    <x v="0"/>
    <x v="0"/>
    <x v="0"/>
    <x v="0"/>
  </r>
  <r>
    <n v="510"/>
    <s v="iPhone 12"/>
    <s v="iOS"/>
    <n v="492"/>
    <n v="10"/>
    <n v="2513"/>
    <n v="90"/>
    <n v="1968"/>
    <n v="31"/>
    <s v="25–40"/>
    <s v="Male"/>
    <n v="5"/>
    <x v="0"/>
    <x v="0"/>
    <x v="1"/>
    <x v="1"/>
  </r>
  <r>
    <n v="511"/>
    <s v="Google Pixel 5"/>
    <s v="Android"/>
    <n v="241"/>
    <n v="5.3"/>
    <n v="1767"/>
    <n v="58"/>
    <n v="976"/>
    <n v="38"/>
    <s v="25–40"/>
    <s v="Female"/>
    <n v="3"/>
    <x v="0"/>
    <x v="0"/>
    <x v="0"/>
    <x v="0"/>
  </r>
  <r>
    <n v="512"/>
    <s v="Samsung Galaxy S21"/>
    <s v="Android"/>
    <n v="567"/>
    <n v="10.8"/>
    <n v="2911"/>
    <n v="89"/>
    <n v="1682"/>
    <n v="39"/>
    <s v="25–40"/>
    <s v="Male"/>
    <n v="5"/>
    <x v="0"/>
    <x v="0"/>
    <x v="1"/>
    <x v="1"/>
  </r>
  <r>
    <n v="513"/>
    <s v="Samsung Galaxy S21"/>
    <s v="Android"/>
    <n v="36"/>
    <n v="1.6"/>
    <n v="442"/>
    <n v="17"/>
    <n v="249"/>
    <n v="34"/>
    <s v="25–40"/>
    <s v="Male"/>
    <n v="1"/>
    <x v="1"/>
    <x v="2"/>
    <x v="0"/>
    <x v="0"/>
  </r>
  <r>
    <n v="514"/>
    <s v="OnePlus 9"/>
    <s v="Android"/>
    <n v="110"/>
    <n v="3.4"/>
    <n v="975"/>
    <n v="31"/>
    <n v="507"/>
    <n v="57"/>
    <s v="40+"/>
    <s v="Female"/>
    <n v="2"/>
    <x v="0"/>
    <x v="1"/>
    <x v="0"/>
    <x v="0"/>
  </r>
  <r>
    <n v="515"/>
    <s v="Samsung Galaxy S21"/>
    <s v="Android"/>
    <n v="466"/>
    <n v="7.1"/>
    <n v="1984"/>
    <n v="73"/>
    <n v="1461"/>
    <n v="54"/>
    <s v="40+"/>
    <s v="Male"/>
    <n v="4"/>
    <x v="0"/>
    <x v="0"/>
    <x v="1"/>
    <x v="0"/>
  </r>
  <r>
    <n v="516"/>
    <s v="OnePlus 9"/>
    <s v="Android"/>
    <n v="126"/>
    <n v="2.2000000000000002"/>
    <n v="1187"/>
    <n v="28"/>
    <n v="599"/>
    <n v="25"/>
    <s v="25–40"/>
    <s v="Male"/>
    <n v="2"/>
    <x v="0"/>
    <x v="1"/>
    <x v="0"/>
    <x v="0"/>
  </r>
  <r>
    <n v="517"/>
    <s v="Xiaomi Mi 11"/>
    <s v="Android"/>
    <n v="120"/>
    <n v="3.8"/>
    <n v="940"/>
    <n v="36"/>
    <n v="535"/>
    <n v="44"/>
    <s v="40+"/>
    <s v="Male"/>
    <n v="2"/>
    <x v="0"/>
    <x v="1"/>
    <x v="0"/>
    <x v="0"/>
  </r>
  <r>
    <n v="518"/>
    <s v="iPhone 12"/>
    <s v="iOS"/>
    <n v="64"/>
    <n v="1.2"/>
    <n v="592"/>
    <n v="19"/>
    <n v="218"/>
    <n v="25"/>
    <s v="25–40"/>
    <s v="Male"/>
    <n v="1"/>
    <x v="0"/>
    <x v="1"/>
    <x v="0"/>
    <x v="0"/>
  </r>
  <r>
    <n v="519"/>
    <s v="OnePlus 9"/>
    <s v="Android"/>
    <n v="574"/>
    <n v="8.5"/>
    <n v="2780"/>
    <n v="87"/>
    <n v="1809"/>
    <n v="34"/>
    <s v="25–40"/>
    <s v="Female"/>
    <n v="5"/>
    <x v="0"/>
    <x v="0"/>
    <x v="1"/>
    <x v="1"/>
  </r>
  <r>
    <n v="520"/>
    <s v="OnePlus 9"/>
    <s v="Android"/>
    <n v="119"/>
    <n v="2.2000000000000002"/>
    <n v="1123"/>
    <n v="22"/>
    <n v="371"/>
    <n v="51"/>
    <s v="40+"/>
    <s v="Male"/>
    <n v="2"/>
    <x v="0"/>
    <x v="1"/>
    <x v="0"/>
    <x v="0"/>
  </r>
  <r>
    <n v="521"/>
    <s v="OnePlus 9"/>
    <s v="Android"/>
    <n v="350"/>
    <n v="6.5"/>
    <n v="2364"/>
    <n v="75"/>
    <n v="1485"/>
    <n v="20"/>
    <s v="&lt;25"/>
    <s v="Male"/>
    <n v="4"/>
    <x v="0"/>
    <x v="0"/>
    <x v="1"/>
    <x v="1"/>
  </r>
  <r>
    <n v="522"/>
    <s v="Google Pixel 5"/>
    <s v="Android"/>
    <n v="69"/>
    <n v="1.1000000000000001"/>
    <n v="535"/>
    <n v="17"/>
    <n v="250"/>
    <n v="25"/>
    <s v="25–40"/>
    <s v="Male"/>
    <n v="1"/>
    <x v="0"/>
    <x v="1"/>
    <x v="0"/>
    <x v="0"/>
  </r>
  <r>
    <n v="523"/>
    <s v="Xiaomi Mi 11"/>
    <s v="Android"/>
    <n v="438"/>
    <n v="6.5"/>
    <n v="1849"/>
    <n v="64"/>
    <n v="1125"/>
    <n v="49"/>
    <s v="40+"/>
    <s v="Female"/>
    <n v="4"/>
    <x v="0"/>
    <x v="0"/>
    <x v="0"/>
    <x v="0"/>
  </r>
  <r>
    <n v="524"/>
    <s v="Samsung Galaxy S21"/>
    <s v="Android"/>
    <n v="506"/>
    <n v="11.2"/>
    <n v="2623"/>
    <n v="98"/>
    <n v="2460"/>
    <n v="48"/>
    <s v="40+"/>
    <s v="Male"/>
    <n v="5"/>
    <x v="0"/>
    <x v="0"/>
    <x v="1"/>
    <x v="1"/>
  </r>
  <r>
    <n v="525"/>
    <s v="Samsung Galaxy S21"/>
    <s v="Android"/>
    <n v="272"/>
    <n v="5.2"/>
    <n v="1390"/>
    <n v="45"/>
    <n v="792"/>
    <n v="57"/>
    <s v="40+"/>
    <s v="Female"/>
    <n v="3"/>
    <x v="0"/>
    <x v="0"/>
    <x v="0"/>
    <x v="0"/>
  </r>
  <r>
    <n v="526"/>
    <s v="Samsung Galaxy S21"/>
    <s v="Android"/>
    <n v="224"/>
    <n v="4.5"/>
    <n v="1646"/>
    <n v="57"/>
    <n v="665"/>
    <n v="59"/>
    <s v="40+"/>
    <s v="Male"/>
    <n v="3"/>
    <x v="0"/>
    <x v="0"/>
    <x v="0"/>
    <x v="0"/>
  </r>
  <r>
    <n v="527"/>
    <s v="Google Pixel 5"/>
    <s v="Android"/>
    <n v="99"/>
    <n v="2.4"/>
    <n v="689"/>
    <n v="36"/>
    <n v="318"/>
    <n v="29"/>
    <s v="25–40"/>
    <s v="Female"/>
    <n v="2"/>
    <x v="0"/>
    <x v="1"/>
    <x v="0"/>
    <x v="0"/>
  </r>
  <r>
    <n v="528"/>
    <s v="iPhone 12"/>
    <s v="iOS"/>
    <n v="44"/>
    <n v="1.2"/>
    <n v="466"/>
    <n v="10"/>
    <n v="131"/>
    <n v="57"/>
    <s v="40+"/>
    <s v="Female"/>
    <n v="1"/>
    <x v="1"/>
    <x v="2"/>
    <x v="0"/>
    <x v="0"/>
  </r>
  <r>
    <n v="529"/>
    <s v="Google Pixel 5"/>
    <s v="Android"/>
    <n v="175"/>
    <n v="3"/>
    <n v="801"/>
    <n v="32"/>
    <n v="338"/>
    <n v="24"/>
    <s v="&lt;25"/>
    <s v="Male"/>
    <n v="2"/>
    <x v="0"/>
    <x v="1"/>
    <x v="0"/>
    <x v="0"/>
  </r>
  <r>
    <n v="530"/>
    <s v="Google Pixel 5"/>
    <s v="Android"/>
    <n v="228"/>
    <n v="4.8"/>
    <n v="1639"/>
    <n v="47"/>
    <n v="796"/>
    <n v="42"/>
    <s v="40+"/>
    <s v="Female"/>
    <n v="3"/>
    <x v="0"/>
    <x v="0"/>
    <x v="0"/>
    <x v="0"/>
  </r>
  <r>
    <n v="531"/>
    <s v="Xiaomi Mi 11"/>
    <s v="Android"/>
    <n v="589"/>
    <n v="11.8"/>
    <n v="2629"/>
    <n v="86"/>
    <n v="2479"/>
    <n v="43"/>
    <s v="40+"/>
    <s v="Female"/>
    <n v="5"/>
    <x v="0"/>
    <x v="0"/>
    <x v="1"/>
    <x v="1"/>
  </r>
  <r>
    <n v="532"/>
    <s v="OnePlus 9"/>
    <s v="Android"/>
    <n v="339"/>
    <n v="7.9"/>
    <n v="1987"/>
    <n v="66"/>
    <n v="1191"/>
    <n v="47"/>
    <s v="40+"/>
    <s v="Male"/>
    <n v="4"/>
    <x v="0"/>
    <x v="0"/>
    <x v="0"/>
    <x v="0"/>
  </r>
  <r>
    <n v="533"/>
    <s v="iPhone 12"/>
    <s v="iOS"/>
    <n v="431"/>
    <n v="6.4"/>
    <n v="2206"/>
    <n v="66"/>
    <n v="1200"/>
    <n v="23"/>
    <s v="&lt;25"/>
    <s v="Female"/>
    <n v="4"/>
    <x v="0"/>
    <x v="0"/>
    <x v="0"/>
    <x v="0"/>
  </r>
  <r>
    <n v="534"/>
    <s v="Xiaomi Mi 11"/>
    <s v="Android"/>
    <n v="190"/>
    <n v="4.7"/>
    <n v="1276"/>
    <n v="57"/>
    <n v="915"/>
    <n v="22"/>
    <s v="&lt;25"/>
    <s v="Female"/>
    <n v="3"/>
    <x v="0"/>
    <x v="0"/>
    <x v="0"/>
    <x v="0"/>
  </r>
  <r>
    <n v="535"/>
    <s v="OnePlus 9"/>
    <s v="Android"/>
    <n v="389"/>
    <n v="6.1"/>
    <n v="2087"/>
    <n v="67"/>
    <n v="1383"/>
    <n v="30"/>
    <s v="25–40"/>
    <s v="Male"/>
    <n v="4"/>
    <x v="0"/>
    <x v="0"/>
    <x v="1"/>
    <x v="0"/>
  </r>
  <r>
    <n v="536"/>
    <s v="Samsung Galaxy S21"/>
    <s v="Android"/>
    <n v="139"/>
    <n v="3.3"/>
    <n v="937"/>
    <n v="24"/>
    <n v="573"/>
    <n v="25"/>
    <s v="25–40"/>
    <s v="Female"/>
    <n v="2"/>
    <x v="0"/>
    <x v="1"/>
    <x v="0"/>
    <x v="0"/>
  </r>
  <r>
    <n v="537"/>
    <s v="Samsung Galaxy S21"/>
    <s v="Android"/>
    <n v="289"/>
    <n v="5.9"/>
    <n v="1528"/>
    <n v="48"/>
    <n v="915"/>
    <n v="30"/>
    <s v="25–40"/>
    <s v="Male"/>
    <n v="3"/>
    <x v="0"/>
    <x v="0"/>
    <x v="0"/>
    <x v="0"/>
  </r>
  <r>
    <n v="538"/>
    <s v="Samsung Galaxy S21"/>
    <s v="Android"/>
    <n v="593"/>
    <n v="11.1"/>
    <n v="2672"/>
    <n v="82"/>
    <n v="2258"/>
    <n v="34"/>
    <s v="25–40"/>
    <s v="Female"/>
    <n v="5"/>
    <x v="0"/>
    <x v="0"/>
    <x v="1"/>
    <x v="1"/>
  </r>
  <r>
    <n v="539"/>
    <s v="Google Pixel 5"/>
    <s v="Android"/>
    <n v="576"/>
    <n v="9.5"/>
    <n v="2638"/>
    <n v="98"/>
    <n v="2281"/>
    <n v="38"/>
    <s v="25–40"/>
    <s v="Female"/>
    <n v="5"/>
    <x v="0"/>
    <x v="0"/>
    <x v="1"/>
    <x v="1"/>
  </r>
  <r>
    <n v="540"/>
    <s v="OnePlus 9"/>
    <s v="Android"/>
    <n v="592"/>
    <n v="9.4"/>
    <n v="2867"/>
    <n v="95"/>
    <n v="1701"/>
    <n v="27"/>
    <s v="25–40"/>
    <s v="Female"/>
    <n v="5"/>
    <x v="0"/>
    <x v="0"/>
    <x v="1"/>
    <x v="1"/>
  </r>
  <r>
    <n v="541"/>
    <s v="iPhone 12"/>
    <s v="iOS"/>
    <n v="567"/>
    <n v="10.5"/>
    <n v="2817"/>
    <n v="89"/>
    <n v="2194"/>
    <n v="52"/>
    <s v="40+"/>
    <s v="Male"/>
    <n v="5"/>
    <x v="0"/>
    <x v="0"/>
    <x v="1"/>
    <x v="1"/>
  </r>
  <r>
    <n v="542"/>
    <s v="iPhone 12"/>
    <s v="iOS"/>
    <n v="170"/>
    <n v="2.5"/>
    <n v="740"/>
    <n v="21"/>
    <n v="537"/>
    <n v="25"/>
    <s v="25–40"/>
    <s v="Female"/>
    <n v="2"/>
    <x v="0"/>
    <x v="1"/>
    <x v="0"/>
    <x v="0"/>
  </r>
  <r>
    <n v="543"/>
    <s v="Google Pixel 5"/>
    <s v="Android"/>
    <n v="242"/>
    <n v="5.4"/>
    <n v="1307"/>
    <n v="48"/>
    <n v="642"/>
    <n v="28"/>
    <s v="25–40"/>
    <s v="Male"/>
    <n v="3"/>
    <x v="0"/>
    <x v="0"/>
    <x v="0"/>
    <x v="0"/>
  </r>
  <r>
    <n v="544"/>
    <s v="Samsung Galaxy S21"/>
    <s v="Android"/>
    <n v="275"/>
    <n v="5.5"/>
    <n v="1616"/>
    <n v="48"/>
    <n v="656"/>
    <n v="55"/>
    <s v="40+"/>
    <s v="Male"/>
    <n v="3"/>
    <x v="0"/>
    <x v="0"/>
    <x v="0"/>
    <x v="0"/>
  </r>
  <r>
    <n v="545"/>
    <s v="Google Pixel 5"/>
    <s v="Android"/>
    <n v="544"/>
    <n v="9.6999999999999993"/>
    <n v="2633"/>
    <n v="97"/>
    <n v="1727"/>
    <n v="28"/>
    <s v="25–40"/>
    <s v="Female"/>
    <n v="5"/>
    <x v="0"/>
    <x v="0"/>
    <x v="1"/>
    <x v="1"/>
  </r>
  <r>
    <n v="546"/>
    <s v="OnePlus 9"/>
    <s v="Android"/>
    <n v="50"/>
    <n v="2"/>
    <n v="362"/>
    <n v="17"/>
    <n v="182"/>
    <n v="34"/>
    <s v="25–40"/>
    <s v="Female"/>
    <n v="1"/>
    <x v="1"/>
    <x v="2"/>
    <x v="0"/>
    <x v="0"/>
  </r>
  <r>
    <n v="547"/>
    <s v="OnePlus 9"/>
    <s v="Android"/>
    <n v="236"/>
    <n v="4.5999999999999996"/>
    <n v="1750"/>
    <n v="45"/>
    <n v="971"/>
    <n v="21"/>
    <s v="&lt;25"/>
    <s v="Female"/>
    <n v="3"/>
    <x v="0"/>
    <x v="0"/>
    <x v="0"/>
    <x v="0"/>
  </r>
  <r>
    <n v="548"/>
    <s v="iPhone 12"/>
    <s v="iOS"/>
    <n v="139"/>
    <n v="2.6"/>
    <n v="658"/>
    <n v="33"/>
    <n v="358"/>
    <n v="58"/>
    <s v="40+"/>
    <s v="Female"/>
    <n v="2"/>
    <x v="0"/>
    <x v="1"/>
    <x v="0"/>
    <x v="0"/>
  </r>
  <r>
    <n v="549"/>
    <s v="Google Pixel 5"/>
    <s v="Android"/>
    <n v="383"/>
    <n v="6.6"/>
    <n v="2155"/>
    <n v="74"/>
    <n v="1360"/>
    <n v="45"/>
    <s v="40+"/>
    <s v="Male"/>
    <n v="4"/>
    <x v="0"/>
    <x v="0"/>
    <x v="1"/>
    <x v="0"/>
  </r>
  <r>
    <n v="550"/>
    <s v="Samsung Galaxy S21"/>
    <s v="Android"/>
    <n v="172"/>
    <n v="4"/>
    <n v="1047"/>
    <n v="32"/>
    <n v="508"/>
    <n v="21"/>
    <s v="&lt;25"/>
    <s v="Female"/>
    <n v="2"/>
    <x v="0"/>
    <x v="1"/>
    <x v="0"/>
    <x v="0"/>
  </r>
  <r>
    <n v="551"/>
    <s v="Xiaomi Mi 11"/>
    <s v="Android"/>
    <n v="455"/>
    <n v="6.2"/>
    <n v="1984"/>
    <n v="72"/>
    <n v="1287"/>
    <n v="42"/>
    <s v="40+"/>
    <s v="Male"/>
    <n v="4"/>
    <x v="0"/>
    <x v="0"/>
    <x v="0"/>
    <x v="0"/>
  </r>
  <r>
    <n v="552"/>
    <s v="Samsung Galaxy S21"/>
    <s v="Android"/>
    <n v="157"/>
    <n v="2.5"/>
    <n v="1110"/>
    <n v="30"/>
    <n v="373"/>
    <n v="37"/>
    <s v="25–40"/>
    <s v="Female"/>
    <n v="2"/>
    <x v="0"/>
    <x v="1"/>
    <x v="0"/>
    <x v="0"/>
  </r>
  <r>
    <n v="553"/>
    <s v="iPhone 12"/>
    <s v="iOS"/>
    <n v="173"/>
    <n v="3.8"/>
    <n v="605"/>
    <n v="23"/>
    <n v="583"/>
    <n v="32"/>
    <s v="25–40"/>
    <s v="Male"/>
    <n v="2"/>
    <x v="0"/>
    <x v="1"/>
    <x v="0"/>
    <x v="0"/>
  </r>
  <r>
    <n v="554"/>
    <s v="Samsung Galaxy S21"/>
    <s v="Android"/>
    <n v="405"/>
    <n v="7.3"/>
    <n v="2082"/>
    <n v="75"/>
    <n v="1162"/>
    <n v="37"/>
    <s v="25–40"/>
    <s v="Female"/>
    <n v="4"/>
    <x v="0"/>
    <x v="0"/>
    <x v="0"/>
    <x v="0"/>
  </r>
  <r>
    <n v="555"/>
    <s v="iPhone 12"/>
    <s v="iOS"/>
    <n v="387"/>
    <n v="6.6"/>
    <n v="2168"/>
    <n v="61"/>
    <n v="1246"/>
    <n v="19"/>
    <s v="&lt;25"/>
    <s v="Female"/>
    <n v="4"/>
    <x v="0"/>
    <x v="0"/>
    <x v="0"/>
    <x v="0"/>
  </r>
  <r>
    <n v="556"/>
    <s v="Xiaomi Mi 11"/>
    <s v="Android"/>
    <n v="201"/>
    <n v="4.9000000000000004"/>
    <n v="1633"/>
    <n v="41"/>
    <n v="972"/>
    <n v="32"/>
    <s v="25–40"/>
    <s v="Female"/>
    <n v="3"/>
    <x v="0"/>
    <x v="0"/>
    <x v="0"/>
    <x v="0"/>
  </r>
  <r>
    <n v="557"/>
    <s v="iPhone 12"/>
    <s v="iOS"/>
    <n v="142"/>
    <n v="3.5"/>
    <n v="625"/>
    <n v="25"/>
    <n v="370"/>
    <n v="40"/>
    <s v="25–40"/>
    <s v="Female"/>
    <n v="2"/>
    <x v="0"/>
    <x v="1"/>
    <x v="0"/>
    <x v="0"/>
  </r>
  <r>
    <n v="558"/>
    <s v="Samsung Galaxy S21"/>
    <s v="Android"/>
    <n v="198"/>
    <n v="4.2"/>
    <n v="1392"/>
    <n v="43"/>
    <n v="640"/>
    <n v="27"/>
    <s v="25–40"/>
    <s v="Male"/>
    <n v="3"/>
    <x v="0"/>
    <x v="0"/>
    <x v="0"/>
    <x v="0"/>
  </r>
  <r>
    <n v="559"/>
    <s v="Google Pixel 5"/>
    <s v="Android"/>
    <n v="361"/>
    <n v="7.6"/>
    <n v="2037"/>
    <n v="65"/>
    <n v="1056"/>
    <n v="55"/>
    <s v="40+"/>
    <s v="Male"/>
    <n v="4"/>
    <x v="0"/>
    <x v="0"/>
    <x v="0"/>
    <x v="0"/>
  </r>
  <r>
    <n v="560"/>
    <s v="OnePlus 9"/>
    <s v="Android"/>
    <n v="553"/>
    <n v="11.6"/>
    <n v="2914"/>
    <n v="81"/>
    <n v="1860"/>
    <n v="47"/>
    <s v="40+"/>
    <s v="Male"/>
    <n v="5"/>
    <x v="0"/>
    <x v="0"/>
    <x v="1"/>
    <x v="1"/>
  </r>
  <r>
    <n v="561"/>
    <s v="Samsung Galaxy S21"/>
    <s v="Android"/>
    <n v="408"/>
    <n v="6.2"/>
    <n v="2245"/>
    <n v="69"/>
    <n v="1103"/>
    <n v="38"/>
    <s v="25–40"/>
    <s v="Female"/>
    <n v="4"/>
    <x v="0"/>
    <x v="0"/>
    <x v="0"/>
    <x v="1"/>
  </r>
  <r>
    <n v="562"/>
    <s v="Xiaomi Mi 11"/>
    <s v="Android"/>
    <n v="121"/>
    <n v="2.1"/>
    <n v="1188"/>
    <n v="21"/>
    <n v="578"/>
    <n v="18"/>
    <s v="&lt;25"/>
    <s v="Male"/>
    <n v="2"/>
    <x v="0"/>
    <x v="1"/>
    <x v="0"/>
    <x v="0"/>
  </r>
  <r>
    <n v="563"/>
    <s v="Google Pixel 5"/>
    <s v="Android"/>
    <n v="71"/>
    <n v="1.4"/>
    <n v="508"/>
    <n v="15"/>
    <n v="265"/>
    <n v="33"/>
    <s v="25–40"/>
    <s v="Female"/>
    <n v="1"/>
    <x v="0"/>
    <x v="1"/>
    <x v="0"/>
    <x v="0"/>
  </r>
  <r>
    <n v="564"/>
    <s v="iPhone 12"/>
    <s v="iOS"/>
    <n v="46"/>
    <n v="1.6"/>
    <n v="440"/>
    <n v="10"/>
    <n v="265"/>
    <n v="31"/>
    <s v="25–40"/>
    <s v="Male"/>
    <n v="1"/>
    <x v="1"/>
    <x v="2"/>
    <x v="0"/>
    <x v="0"/>
  </r>
  <r>
    <n v="565"/>
    <s v="Xiaomi Mi 11"/>
    <s v="Android"/>
    <n v="290"/>
    <n v="4.4000000000000004"/>
    <n v="1272"/>
    <n v="55"/>
    <n v="910"/>
    <n v="44"/>
    <s v="40+"/>
    <s v="Male"/>
    <n v="3"/>
    <x v="0"/>
    <x v="0"/>
    <x v="0"/>
    <x v="0"/>
  </r>
  <r>
    <n v="566"/>
    <s v="Samsung Galaxy S21"/>
    <s v="Android"/>
    <n v="60"/>
    <n v="1.3"/>
    <n v="462"/>
    <n v="15"/>
    <n v="296"/>
    <n v="40"/>
    <s v="25–40"/>
    <s v="Male"/>
    <n v="1"/>
    <x v="0"/>
    <x v="1"/>
    <x v="0"/>
    <x v="0"/>
  </r>
  <r>
    <n v="567"/>
    <s v="Google Pixel 5"/>
    <s v="Android"/>
    <n v="116"/>
    <n v="3.9"/>
    <n v="1132"/>
    <n v="26"/>
    <n v="498"/>
    <n v="35"/>
    <s v="25–40"/>
    <s v="Female"/>
    <n v="2"/>
    <x v="0"/>
    <x v="1"/>
    <x v="0"/>
    <x v="0"/>
  </r>
  <r>
    <n v="568"/>
    <s v="OnePlus 9"/>
    <s v="Android"/>
    <n v="86"/>
    <n v="1.7"/>
    <n v="312"/>
    <n v="16"/>
    <n v="227"/>
    <n v="32"/>
    <s v="25–40"/>
    <s v="Male"/>
    <n v="1"/>
    <x v="0"/>
    <x v="1"/>
    <x v="0"/>
    <x v="0"/>
  </r>
  <r>
    <n v="569"/>
    <s v="Google Pixel 5"/>
    <s v="Android"/>
    <n v="291"/>
    <n v="5.3"/>
    <n v="1537"/>
    <n v="43"/>
    <n v="700"/>
    <n v="49"/>
    <s v="40+"/>
    <s v="Female"/>
    <n v="3"/>
    <x v="0"/>
    <x v="0"/>
    <x v="0"/>
    <x v="0"/>
  </r>
  <r>
    <n v="570"/>
    <s v="Google Pixel 5"/>
    <s v="Android"/>
    <n v="404"/>
    <n v="6.6"/>
    <n v="2181"/>
    <n v="77"/>
    <n v="1327"/>
    <n v="18"/>
    <s v="&lt;25"/>
    <s v="Male"/>
    <n v="4"/>
    <x v="0"/>
    <x v="0"/>
    <x v="0"/>
    <x v="0"/>
  </r>
  <r>
    <n v="571"/>
    <s v="OnePlus 9"/>
    <s v="Android"/>
    <n v="441"/>
    <n v="7.1"/>
    <n v="1928"/>
    <n v="74"/>
    <n v="1421"/>
    <n v="57"/>
    <s v="40+"/>
    <s v="Male"/>
    <n v="4"/>
    <x v="0"/>
    <x v="0"/>
    <x v="1"/>
    <x v="0"/>
  </r>
  <r>
    <n v="572"/>
    <s v="Google Pixel 5"/>
    <s v="Android"/>
    <n v="444"/>
    <n v="6.1"/>
    <n v="2229"/>
    <n v="73"/>
    <n v="1194"/>
    <n v="25"/>
    <s v="25–40"/>
    <s v="Female"/>
    <n v="4"/>
    <x v="0"/>
    <x v="0"/>
    <x v="0"/>
    <x v="1"/>
  </r>
  <r>
    <n v="573"/>
    <s v="OnePlus 9"/>
    <s v="Android"/>
    <n v="211"/>
    <n v="5.9"/>
    <n v="1757"/>
    <n v="42"/>
    <n v="864"/>
    <n v="56"/>
    <s v="40+"/>
    <s v="Female"/>
    <n v="3"/>
    <x v="0"/>
    <x v="0"/>
    <x v="0"/>
    <x v="0"/>
  </r>
  <r>
    <n v="574"/>
    <s v="Samsung Galaxy S21"/>
    <s v="Android"/>
    <n v="537"/>
    <n v="9.1"/>
    <n v="2858"/>
    <n v="86"/>
    <n v="2158"/>
    <n v="22"/>
    <s v="&lt;25"/>
    <s v="Male"/>
    <n v="5"/>
    <x v="0"/>
    <x v="0"/>
    <x v="1"/>
    <x v="1"/>
  </r>
  <r>
    <n v="575"/>
    <s v="Xiaomi Mi 11"/>
    <s v="Android"/>
    <n v="519"/>
    <n v="10.9"/>
    <n v="2571"/>
    <n v="93"/>
    <n v="2163"/>
    <n v="47"/>
    <s v="40+"/>
    <s v="Female"/>
    <n v="5"/>
    <x v="0"/>
    <x v="0"/>
    <x v="1"/>
    <x v="1"/>
  </r>
  <r>
    <n v="576"/>
    <s v="Samsung Galaxy S21"/>
    <s v="Android"/>
    <n v="94"/>
    <n v="3.5"/>
    <n v="606"/>
    <n v="30"/>
    <n v="446"/>
    <n v="49"/>
    <s v="40+"/>
    <s v="Male"/>
    <n v="2"/>
    <x v="0"/>
    <x v="1"/>
    <x v="0"/>
    <x v="0"/>
  </r>
  <r>
    <n v="577"/>
    <s v="Google Pixel 5"/>
    <s v="Android"/>
    <n v="554"/>
    <n v="10.3"/>
    <n v="2776"/>
    <n v="83"/>
    <n v="1606"/>
    <n v="34"/>
    <s v="25–40"/>
    <s v="Female"/>
    <n v="5"/>
    <x v="0"/>
    <x v="0"/>
    <x v="1"/>
    <x v="1"/>
  </r>
  <r>
    <n v="578"/>
    <s v="iPhone 12"/>
    <s v="iOS"/>
    <n v="381"/>
    <n v="7.5"/>
    <n v="2216"/>
    <n v="66"/>
    <n v="1291"/>
    <n v="37"/>
    <s v="25–40"/>
    <s v="Female"/>
    <n v="4"/>
    <x v="0"/>
    <x v="0"/>
    <x v="0"/>
    <x v="0"/>
  </r>
  <r>
    <n v="579"/>
    <s v="OnePlus 9"/>
    <s v="Android"/>
    <n v="257"/>
    <n v="6"/>
    <n v="1715"/>
    <n v="49"/>
    <n v="916"/>
    <n v="40"/>
    <s v="25–40"/>
    <s v="Female"/>
    <n v="3"/>
    <x v="0"/>
    <x v="0"/>
    <x v="0"/>
    <x v="0"/>
  </r>
  <r>
    <n v="580"/>
    <s v="Samsung Galaxy S21"/>
    <s v="Android"/>
    <n v="47"/>
    <n v="1.1000000000000001"/>
    <n v="532"/>
    <n v="18"/>
    <n v="122"/>
    <n v="36"/>
    <s v="25–40"/>
    <s v="Male"/>
    <n v="1"/>
    <x v="1"/>
    <x v="2"/>
    <x v="0"/>
    <x v="0"/>
  </r>
  <r>
    <n v="581"/>
    <s v="iPhone 12"/>
    <s v="iOS"/>
    <n v="527"/>
    <n v="10"/>
    <n v="2430"/>
    <n v="82"/>
    <n v="1737"/>
    <n v="27"/>
    <s v="25–40"/>
    <s v="Female"/>
    <n v="5"/>
    <x v="0"/>
    <x v="0"/>
    <x v="1"/>
    <x v="1"/>
  </r>
  <r>
    <n v="582"/>
    <s v="Samsung Galaxy S21"/>
    <s v="Android"/>
    <n v="148"/>
    <n v="2.7"/>
    <n v="625"/>
    <n v="34"/>
    <n v="416"/>
    <n v="27"/>
    <s v="25–40"/>
    <s v="Male"/>
    <n v="2"/>
    <x v="0"/>
    <x v="1"/>
    <x v="0"/>
    <x v="0"/>
  </r>
  <r>
    <n v="583"/>
    <s v="iPhone 12"/>
    <s v="iOS"/>
    <n v="191"/>
    <n v="5.7"/>
    <n v="1414"/>
    <n v="53"/>
    <n v="991"/>
    <n v="19"/>
    <s v="&lt;25"/>
    <s v="Female"/>
    <n v="3"/>
    <x v="0"/>
    <x v="0"/>
    <x v="0"/>
    <x v="0"/>
  </r>
  <r>
    <n v="584"/>
    <s v="Google Pixel 5"/>
    <s v="Android"/>
    <n v="71"/>
    <n v="1.9"/>
    <n v="571"/>
    <n v="10"/>
    <n v="117"/>
    <n v="43"/>
    <s v="40+"/>
    <s v="Female"/>
    <n v="1"/>
    <x v="0"/>
    <x v="1"/>
    <x v="0"/>
    <x v="0"/>
  </r>
  <r>
    <n v="585"/>
    <s v="OnePlus 9"/>
    <s v="Android"/>
    <n v="73"/>
    <n v="1.3"/>
    <n v="538"/>
    <n v="19"/>
    <n v="175"/>
    <n v="30"/>
    <s v="25–40"/>
    <s v="Female"/>
    <n v="1"/>
    <x v="0"/>
    <x v="1"/>
    <x v="0"/>
    <x v="0"/>
  </r>
  <r>
    <n v="586"/>
    <s v="OnePlus 9"/>
    <s v="Android"/>
    <n v="149"/>
    <n v="3.1"/>
    <n v="1191"/>
    <n v="28"/>
    <n v="563"/>
    <n v="29"/>
    <s v="25–40"/>
    <s v="Male"/>
    <n v="2"/>
    <x v="0"/>
    <x v="1"/>
    <x v="0"/>
    <x v="0"/>
  </r>
  <r>
    <n v="587"/>
    <s v="Xiaomi Mi 11"/>
    <s v="Android"/>
    <n v="197"/>
    <n v="4.4000000000000004"/>
    <n v="1665"/>
    <n v="44"/>
    <n v="608"/>
    <n v="43"/>
    <s v="40+"/>
    <s v="Female"/>
    <n v="3"/>
    <x v="0"/>
    <x v="0"/>
    <x v="0"/>
    <x v="0"/>
  </r>
  <r>
    <n v="588"/>
    <s v="Samsung Galaxy S21"/>
    <s v="Android"/>
    <n v="328"/>
    <n v="6.1"/>
    <n v="1975"/>
    <n v="72"/>
    <n v="1101"/>
    <n v="24"/>
    <s v="&lt;25"/>
    <s v="Male"/>
    <n v="4"/>
    <x v="0"/>
    <x v="0"/>
    <x v="0"/>
    <x v="0"/>
  </r>
  <r>
    <n v="589"/>
    <s v="OnePlus 9"/>
    <s v="Android"/>
    <n v="424"/>
    <n v="7.5"/>
    <n v="1995"/>
    <n v="75"/>
    <n v="1228"/>
    <n v="36"/>
    <s v="25–40"/>
    <s v="Male"/>
    <n v="4"/>
    <x v="0"/>
    <x v="0"/>
    <x v="0"/>
    <x v="0"/>
  </r>
  <r>
    <n v="590"/>
    <s v="Samsung Galaxy S21"/>
    <s v="Android"/>
    <n v="111"/>
    <n v="3.6"/>
    <n v="627"/>
    <n v="26"/>
    <n v="464"/>
    <n v="39"/>
    <s v="25–40"/>
    <s v="Female"/>
    <n v="2"/>
    <x v="0"/>
    <x v="1"/>
    <x v="0"/>
    <x v="0"/>
  </r>
  <r>
    <n v="591"/>
    <s v="Samsung Galaxy S21"/>
    <s v="Android"/>
    <n v="159"/>
    <n v="3.7"/>
    <n v="630"/>
    <n v="33"/>
    <n v="575"/>
    <n v="30"/>
    <s v="25–40"/>
    <s v="Male"/>
    <n v="2"/>
    <x v="0"/>
    <x v="1"/>
    <x v="0"/>
    <x v="0"/>
  </r>
  <r>
    <n v="592"/>
    <s v="Google Pixel 5"/>
    <s v="Android"/>
    <n v="580"/>
    <n v="11.5"/>
    <n v="2767"/>
    <n v="84"/>
    <n v="2341"/>
    <n v="36"/>
    <s v="25–40"/>
    <s v="Female"/>
    <n v="5"/>
    <x v="0"/>
    <x v="0"/>
    <x v="1"/>
    <x v="1"/>
  </r>
  <r>
    <n v="593"/>
    <s v="Samsung Galaxy S21"/>
    <s v="Android"/>
    <n v="379"/>
    <n v="7.7"/>
    <n v="1809"/>
    <n v="64"/>
    <n v="1050"/>
    <n v="22"/>
    <s v="&lt;25"/>
    <s v="Female"/>
    <n v="4"/>
    <x v="0"/>
    <x v="0"/>
    <x v="0"/>
    <x v="0"/>
  </r>
  <r>
    <n v="594"/>
    <s v="Samsung Galaxy S21"/>
    <s v="Android"/>
    <n v="217"/>
    <n v="4.2"/>
    <n v="1500"/>
    <n v="42"/>
    <n v="677"/>
    <n v="26"/>
    <s v="25–40"/>
    <s v="Female"/>
    <n v="3"/>
    <x v="0"/>
    <x v="0"/>
    <x v="0"/>
    <x v="0"/>
  </r>
  <r>
    <n v="595"/>
    <s v="Xiaomi Mi 11"/>
    <s v="Android"/>
    <n v="447"/>
    <n v="6.3"/>
    <n v="1959"/>
    <n v="63"/>
    <n v="1441"/>
    <n v="48"/>
    <s v="40+"/>
    <s v="Male"/>
    <n v="4"/>
    <x v="0"/>
    <x v="0"/>
    <x v="1"/>
    <x v="0"/>
  </r>
  <r>
    <n v="596"/>
    <s v="OnePlus 9"/>
    <s v="Android"/>
    <n v="512"/>
    <n v="10.5"/>
    <n v="2538"/>
    <n v="82"/>
    <n v="1694"/>
    <n v="41"/>
    <s v="40+"/>
    <s v="Male"/>
    <n v="5"/>
    <x v="0"/>
    <x v="0"/>
    <x v="1"/>
    <x v="1"/>
  </r>
  <r>
    <n v="597"/>
    <s v="Xiaomi Mi 11"/>
    <s v="Android"/>
    <n v="511"/>
    <n v="10.8"/>
    <n v="2529"/>
    <n v="91"/>
    <n v="2387"/>
    <n v="21"/>
    <s v="&lt;25"/>
    <s v="Male"/>
    <n v="5"/>
    <x v="0"/>
    <x v="0"/>
    <x v="1"/>
    <x v="1"/>
  </r>
  <r>
    <n v="598"/>
    <s v="OnePlus 9"/>
    <s v="Android"/>
    <n v="140"/>
    <n v="2.5"/>
    <n v="825"/>
    <n v="31"/>
    <n v="347"/>
    <n v="59"/>
    <s v="40+"/>
    <s v="Male"/>
    <n v="2"/>
    <x v="0"/>
    <x v="1"/>
    <x v="0"/>
    <x v="0"/>
  </r>
  <r>
    <n v="599"/>
    <s v="Samsung Galaxy S21"/>
    <s v="Android"/>
    <n v="114"/>
    <n v="3"/>
    <n v="1131"/>
    <n v="31"/>
    <n v="596"/>
    <n v="28"/>
    <s v="25–40"/>
    <s v="Male"/>
    <n v="2"/>
    <x v="0"/>
    <x v="1"/>
    <x v="0"/>
    <x v="0"/>
  </r>
  <r>
    <n v="600"/>
    <s v="Samsung Galaxy S21"/>
    <s v="Android"/>
    <n v="192"/>
    <n v="4.3"/>
    <n v="1382"/>
    <n v="42"/>
    <n v="905"/>
    <n v="47"/>
    <s v="40+"/>
    <s v="Female"/>
    <n v="3"/>
    <x v="0"/>
    <x v="0"/>
    <x v="0"/>
    <x v="0"/>
  </r>
  <r>
    <n v="601"/>
    <s v="iPhone 12"/>
    <s v="iOS"/>
    <n v="325"/>
    <n v="6"/>
    <n v="2244"/>
    <n v="70"/>
    <n v="1296"/>
    <n v="30"/>
    <s v="25–40"/>
    <s v="Female"/>
    <n v="4"/>
    <x v="0"/>
    <x v="0"/>
    <x v="0"/>
    <x v="1"/>
  </r>
  <r>
    <n v="602"/>
    <s v="OnePlus 9"/>
    <s v="Android"/>
    <n v="83"/>
    <n v="1.2"/>
    <n v="545"/>
    <n v="15"/>
    <n v="284"/>
    <n v="44"/>
    <s v="40+"/>
    <s v="Male"/>
    <n v="1"/>
    <x v="0"/>
    <x v="1"/>
    <x v="0"/>
    <x v="0"/>
  </r>
  <r>
    <n v="603"/>
    <s v="OnePlus 9"/>
    <s v="Android"/>
    <n v="122"/>
    <n v="3"/>
    <n v="922"/>
    <n v="32"/>
    <n v="373"/>
    <n v="43"/>
    <s v="40+"/>
    <s v="Male"/>
    <n v="2"/>
    <x v="0"/>
    <x v="1"/>
    <x v="0"/>
    <x v="0"/>
  </r>
  <r>
    <n v="604"/>
    <s v="OnePlus 9"/>
    <s v="Android"/>
    <n v="138"/>
    <n v="2.1"/>
    <n v="660"/>
    <n v="22"/>
    <n v="424"/>
    <n v="41"/>
    <s v="40+"/>
    <s v="Female"/>
    <n v="2"/>
    <x v="0"/>
    <x v="1"/>
    <x v="0"/>
    <x v="0"/>
  </r>
  <r>
    <n v="605"/>
    <s v="OnePlus 9"/>
    <s v="Android"/>
    <n v="182"/>
    <n v="5.3"/>
    <n v="1278"/>
    <n v="42"/>
    <n v="885"/>
    <n v="54"/>
    <s v="40+"/>
    <s v="Female"/>
    <n v="3"/>
    <x v="0"/>
    <x v="0"/>
    <x v="0"/>
    <x v="0"/>
  </r>
  <r>
    <n v="606"/>
    <s v="OnePlus 9"/>
    <s v="Android"/>
    <n v="425"/>
    <n v="6"/>
    <n v="1928"/>
    <n v="72"/>
    <n v="1150"/>
    <n v="53"/>
    <s v="40+"/>
    <s v="Female"/>
    <n v="4"/>
    <x v="0"/>
    <x v="0"/>
    <x v="0"/>
    <x v="0"/>
  </r>
  <r>
    <n v="607"/>
    <s v="OnePlus 9"/>
    <s v="Android"/>
    <n v="580"/>
    <n v="10.4"/>
    <n v="2496"/>
    <n v="81"/>
    <n v="2441"/>
    <n v="37"/>
    <s v="25–40"/>
    <s v="Female"/>
    <n v="5"/>
    <x v="0"/>
    <x v="0"/>
    <x v="1"/>
    <x v="1"/>
  </r>
  <r>
    <n v="608"/>
    <s v="Xiaomi Mi 11"/>
    <s v="Android"/>
    <n v="203"/>
    <n v="4"/>
    <n v="1323"/>
    <n v="56"/>
    <n v="787"/>
    <n v="21"/>
    <s v="&lt;25"/>
    <s v="Male"/>
    <n v="3"/>
    <x v="0"/>
    <x v="0"/>
    <x v="0"/>
    <x v="0"/>
  </r>
  <r>
    <n v="609"/>
    <s v="Xiaomi Mi 11"/>
    <s v="Android"/>
    <n v="258"/>
    <n v="4.9000000000000004"/>
    <n v="1596"/>
    <n v="56"/>
    <n v="937"/>
    <n v="40"/>
    <s v="25–40"/>
    <s v="Female"/>
    <n v="3"/>
    <x v="0"/>
    <x v="0"/>
    <x v="0"/>
    <x v="0"/>
  </r>
  <r>
    <n v="610"/>
    <s v="iPhone 12"/>
    <s v="iOS"/>
    <n v="551"/>
    <n v="8.5"/>
    <n v="2927"/>
    <n v="92"/>
    <n v="1901"/>
    <n v="51"/>
    <s v="40+"/>
    <s v="Male"/>
    <n v="5"/>
    <x v="0"/>
    <x v="0"/>
    <x v="1"/>
    <x v="1"/>
  </r>
  <r>
    <n v="611"/>
    <s v="iPhone 12"/>
    <s v="iOS"/>
    <n v="507"/>
    <n v="9.6"/>
    <n v="2606"/>
    <n v="95"/>
    <n v="1543"/>
    <n v="48"/>
    <s v="40+"/>
    <s v="Male"/>
    <n v="5"/>
    <x v="0"/>
    <x v="0"/>
    <x v="1"/>
    <x v="1"/>
  </r>
  <r>
    <n v="612"/>
    <s v="Xiaomi Mi 11"/>
    <s v="Android"/>
    <n v="57"/>
    <n v="1.3"/>
    <n v="489"/>
    <n v="16"/>
    <n v="131"/>
    <n v="37"/>
    <s v="25–40"/>
    <s v="Male"/>
    <n v="1"/>
    <x v="1"/>
    <x v="2"/>
    <x v="0"/>
    <x v="0"/>
  </r>
  <r>
    <n v="613"/>
    <s v="Xiaomi Mi 11"/>
    <s v="Android"/>
    <n v="553"/>
    <n v="10.199999999999999"/>
    <n v="2911"/>
    <n v="82"/>
    <n v="2441"/>
    <n v="44"/>
    <s v="40+"/>
    <s v="Male"/>
    <n v="5"/>
    <x v="0"/>
    <x v="0"/>
    <x v="1"/>
    <x v="1"/>
  </r>
  <r>
    <n v="614"/>
    <s v="Google Pixel 5"/>
    <s v="Android"/>
    <n v="49"/>
    <n v="1.1000000000000001"/>
    <n v="395"/>
    <n v="16"/>
    <n v="153"/>
    <n v="46"/>
    <s v="40+"/>
    <s v="Female"/>
    <n v="1"/>
    <x v="1"/>
    <x v="2"/>
    <x v="0"/>
    <x v="0"/>
  </r>
  <r>
    <n v="615"/>
    <s v="Samsung Galaxy S21"/>
    <s v="Android"/>
    <n v="106"/>
    <n v="4"/>
    <n v="1158"/>
    <n v="23"/>
    <n v="493"/>
    <n v="18"/>
    <s v="&lt;25"/>
    <s v="Male"/>
    <n v="2"/>
    <x v="0"/>
    <x v="1"/>
    <x v="0"/>
    <x v="0"/>
  </r>
  <r>
    <n v="616"/>
    <s v="Google Pixel 5"/>
    <s v="Android"/>
    <n v="119"/>
    <n v="3.7"/>
    <n v="608"/>
    <n v="36"/>
    <n v="461"/>
    <n v="52"/>
    <s v="40+"/>
    <s v="Male"/>
    <n v="2"/>
    <x v="0"/>
    <x v="1"/>
    <x v="0"/>
    <x v="0"/>
  </r>
  <r>
    <n v="617"/>
    <s v="OnePlus 9"/>
    <s v="Android"/>
    <n v="288"/>
    <n v="5.4"/>
    <n v="1476"/>
    <n v="49"/>
    <n v="767"/>
    <n v="36"/>
    <s v="25–40"/>
    <s v="Female"/>
    <n v="3"/>
    <x v="0"/>
    <x v="0"/>
    <x v="0"/>
    <x v="0"/>
  </r>
  <r>
    <n v="618"/>
    <s v="Google Pixel 5"/>
    <s v="Android"/>
    <n v="225"/>
    <n v="5.6"/>
    <n v="1388"/>
    <n v="55"/>
    <n v="965"/>
    <n v="36"/>
    <s v="25–40"/>
    <s v="Female"/>
    <n v="3"/>
    <x v="0"/>
    <x v="0"/>
    <x v="0"/>
    <x v="0"/>
  </r>
  <r>
    <n v="619"/>
    <s v="OnePlus 9"/>
    <s v="Android"/>
    <n v="342"/>
    <n v="7"/>
    <n v="1826"/>
    <n v="71"/>
    <n v="1077"/>
    <n v="26"/>
    <s v="25–40"/>
    <s v="Female"/>
    <n v="4"/>
    <x v="0"/>
    <x v="0"/>
    <x v="0"/>
    <x v="0"/>
  </r>
  <r>
    <n v="620"/>
    <s v="Samsung Galaxy S21"/>
    <s v="Android"/>
    <n v="292"/>
    <n v="4.2"/>
    <n v="1407"/>
    <n v="54"/>
    <n v="867"/>
    <n v="59"/>
    <s v="40+"/>
    <s v="Male"/>
    <n v="3"/>
    <x v="0"/>
    <x v="0"/>
    <x v="0"/>
    <x v="0"/>
  </r>
  <r>
    <n v="621"/>
    <s v="iPhone 12"/>
    <s v="iOS"/>
    <n v="218"/>
    <n v="5"/>
    <n v="1475"/>
    <n v="46"/>
    <n v="972"/>
    <n v="59"/>
    <s v="40+"/>
    <s v="Female"/>
    <n v="3"/>
    <x v="0"/>
    <x v="0"/>
    <x v="0"/>
    <x v="0"/>
  </r>
  <r>
    <n v="622"/>
    <s v="Google Pixel 5"/>
    <s v="Android"/>
    <n v="64"/>
    <n v="1.8"/>
    <n v="351"/>
    <n v="15"/>
    <n v="274"/>
    <n v="56"/>
    <s v="40+"/>
    <s v="Male"/>
    <n v="1"/>
    <x v="0"/>
    <x v="1"/>
    <x v="0"/>
    <x v="0"/>
  </r>
  <r>
    <n v="623"/>
    <s v="Xiaomi Mi 11"/>
    <s v="Android"/>
    <n v="453"/>
    <n v="7.4"/>
    <n v="2363"/>
    <n v="65"/>
    <n v="1046"/>
    <n v="41"/>
    <s v="40+"/>
    <s v="Female"/>
    <n v="4"/>
    <x v="0"/>
    <x v="0"/>
    <x v="0"/>
    <x v="1"/>
  </r>
  <r>
    <n v="624"/>
    <s v="OnePlus 9"/>
    <s v="Android"/>
    <n v="42"/>
    <n v="1.8"/>
    <n v="417"/>
    <n v="15"/>
    <n v="284"/>
    <n v="21"/>
    <s v="&lt;25"/>
    <s v="Male"/>
    <n v="1"/>
    <x v="1"/>
    <x v="2"/>
    <x v="0"/>
    <x v="0"/>
  </r>
  <r>
    <n v="625"/>
    <s v="Samsung Galaxy S21"/>
    <s v="Android"/>
    <n v="36"/>
    <n v="1.5"/>
    <n v="310"/>
    <n v="15"/>
    <n v="272"/>
    <n v="45"/>
    <s v="40+"/>
    <s v="Male"/>
    <n v="1"/>
    <x v="1"/>
    <x v="2"/>
    <x v="0"/>
    <x v="0"/>
  </r>
  <r>
    <n v="626"/>
    <s v="OnePlus 9"/>
    <s v="Android"/>
    <n v="55"/>
    <n v="1.8"/>
    <n v="328"/>
    <n v="12"/>
    <n v="196"/>
    <n v="31"/>
    <s v="25–40"/>
    <s v="Female"/>
    <n v="1"/>
    <x v="1"/>
    <x v="2"/>
    <x v="0"/>
    <x v="0"/>
  </r>
  <r>
    <n v="627"/>
    <s v="iPhone 12"/>
    <s v="iOS"/>
    <n v="210"/>
    <n v="5"/>
    <n v="1614"/>
    <n v="53"/>
    <n v="679"/>
    <n v="55"/>
    <s v="40+"/>
    <s v="Female"/>
    <n v="3"/>
    <x v="0"/>
    <x v="0"/>
    <x v="0"/>
    <x v="0"/>
  </r>
  <r>
    <n v="628"/>
    <s v="iPhone 12"/>
    <s v="iOS"/>
    <n v="227"/>
    <n v="5.2"/>
    <n v="1446"/>
    <n v="46"/>
    <n v="920"/>
    <n v="59"/>
    <s v="40+"/>
    <s v="Male"/>
    <n v="3"/>
    <x v="0"/>
    <x v="0"/>
    <x v="0"/>
    <x v="0"/>
  </r>
  <r>
    <n v="629"/>
    <s v="Xiaomi Mi 11"/>
    <s v="Android"/>
    <n v="47"/>
    <n v="1.2"/>
    <n v="437"/>
    <n v="18"/>
    <n v="234"/>
    <n v="55"/>
    <s v="40+"/>
    <s v="Male"/>
    <n v="1"/>
    <x v="1"/>
    <x v="2"/>
    <x v="0"/>
    <x v="0"/>
  </r>
  <r>
    <n v="630"/>
    <s v="iPhone 12"/>
    <s v="iOS"/>
    <n v="461"/>
    <n v="6.3"/>
    <n v="1988"/>
    <n v="62"/>
    <n v="1004"/>
    <n v="21"/>
    <s v="&lt;25"/>
    <s v="Male"/>
    <n v="4"/>
    <x v="0"/>
    <x v="0"/>
    <x v="0"/>
    <x v="0"/>
  </r>
  <r>
    <n v="631"/>
    <s v="Google Pixel 5"/>
    <s v="Android"/>
    <n v="94"/>
    <n v="3.1"/>
    <n v="1078"/>
    <n v="38"/>
    <n v="489"/>
    <n v="25"/>
    <s v="25–40"/>
    <s v="Male"/>
    <n v="2"/>
    <x v="0"/>
    <x v="1"/>
    <x v="0"/>
    <x v="0"/>
  </r>
  <r>
    <n v="632"/>
    <s v="Samsung Galaxy S21"/>
    <s v="Android"/>
    <n v="216"/>
    <n v="5.0999999999999996"/>
    <n v="1483"/>
    <n v="54"/>
    <n v="977"/>
    <n v="45"/>
    <s v="40+"/>
    <s v="Female"/>
    <n v="3"/>
    <x v="0"/>
    <x v="0"/>
    <x v="0"/>
    <x v="0"/>
  </r>
  <r>
    <n v="633"/>
    <s v="iPhone 12"/>
    <s v="iOS"/>
    <n v="496"/>
    <n v="10.199999999999999"/>
    <n v="2587"/>
    <n v="84"/>
    <n v="1921"/>
    <n v="56"/>
    <s v="40+"/>
    <s v="Female"/>
    <n v="5"/>
    <x v="0"/>
    <x v="0"/>
    <x v="1"/>
    <x v="1"/>
  </r>
  <r>
    <n v="634"/>
    <s v="OnePlus 9"/>
    <s v="Android"/>
    <n v="138"/>
    <n v="3.2"/>
    <n v="1142"/>
    <n v="31"/>
    <n v="366"/>
    <n v="29"/>
    <s v="25–40"/>
    <s v="Female"/>
    <n v="2"/>
    <x v="0"/>
    <x v="1"/>
    <x v="0"/>
    <x v="0"/>
  </r>
  <r>
    <n v="635"/>
    <s v="iPhone 12"/>
    <s v="iOS"/>
    <n v="318"/>
    <n v="6.6"/>
    <n v="2055"/>
    <n v="67"/>
    <n v="1253"/>
    <n v="43"/>
    <s v="40+"/>
    <s v="Male"/>
    <n v="4"/>
    <x v="0"/>
    <x v="0"/>
    <x v="0"/>
    <x v="0"/>
  </r>
  <r>
    <n v="636"/>
    <s v="Samsung Galaxy S21"/>
    <s v="Android"/>
    <n v="96"/>
    <n v="3.4"/>
    <n v="1198"/>
    <n v="39"/>
    <n v="401"/>
    <n v="48"/>
    <s v="40+"/>
    <s v="Female"/>
    <n v="2"/>
    <x v="0"/>
    <x v="1"/>
    <x v="0"/>
    <x v="0"/>
  </r>
  <r>
    <n v="637"/>
    <s v="OnePlus 9"/>
    <s v="Android"/>
    <n v="510"/>
    <n v="10.7"/>
    <n v="2433"/>
    <n v="90"/>
    <n v="1729"/>
    <n v="47"/>
    <s v="40+"/>
    <s v="Male"/>
    <n v="5"/>
    <x v="0"/>
    <x v="0"/>
    <x v="1"/>
    <x v="1"/>
  </r>
  <r>
    <n v="638"/>
    <s v="Xiaomi Mi 11"/>
    <s v="Android"/>
    <n v="83"/>
    <n v="1.1000000000000001"/>
    <n v="546"/>
    <n v="10"/>
    <n v="289"/>
    <n v="32"/>
    <s v="25–40"/>
    <s v="Female"/>
    <n v="1"/>
    <x v="0"/>
    <x v="1"/>
    <x v="0"/>
    <x v="0"/>
  </r>
  <r>
    <n v="639"/>
    <s v="Google Pixel 5"/>
    <s v="Android"/>
    <n v="417"/>
    <n v="6.2"/>
    <n v="2074"/>
    <n v="63"/>
    <n v="1135"/>
    <n v="35"/>
    <s v="25–40"/>
    <s v="Female"/>
    <n v="4"/>
    <x v="0"/>
    <x v="0"/>
    <x v="0"/>
    <x v="0"/>
  </r>
  <r>
    <n v="640"/>
    <s v="Google Pixel 5"/>
    <s v="Android"/>
    <n v="538"/>
    <n v="9.8000000000000007"/>
    <n v="2778"/>
    <n v="91"/>
    <n v="2080"/>
    <n v="35"/>
    <s v="25–40"/>
    <s v="Female"/>
    <n v="5"/>
    <x v="0"/>
    <x v="0"/>
    <x v="1"/>
    <x v="1"/>
  </r>
  <r>
    <n v="641"/>
    <s v="Samsung Galaxy S21"/>
    <s v="Android"/>
    <n v="63"/>
    <n v="1.8"/>
    <n v="321"/>
    <n v="11"/>
    <n v="271"/>
    <n v="42"/>
    <s v="40+"/>
    <s v="Male"/>
    <n v="1"/>
    <x v="0"/>
    <x v="1"/>
    <x v="0"/>
    <x v="0"/>
  </r>
  <r>
    <n v="642"/>
    <s v="OnePlus 9"/>
    <s v="Android"/>
    <n v="50"/>
    <n v="1.4"/>
    <n v="443"/>
    <n v="16"/>
    <n v="255"/>
    <n v="26"/>
    <s v="25–40"/>
    <s v="Female"/>
    <n v="1"/>
    <x v="1"/>
    <x v="2"/>
    <x v="0"/>
    <x v="0"/>
  </r>
  <r>
    <n v="643"/>
    <s v="Google Pixel 5"/>
    <s v="Android"/>
    <n v="502"/>
    <n v="8.1999999999999993"/>
    <n v="2597"/>
    <n v="90"/>
    <n v="1553"/>
    <n v="27"/>
    <s v="25–40"/>
    <s v="Male"/>
    <n v="5"/>
    <x v="0"/>
    <x v="0"/>
    <x v="1"/>
    <x v="1"/>
  </r>
  <r>
    <n v="644"/>
    <s v="OnePlus 9"/>
    <s v="Android"/>
    <n v="105"/>
    <n v="3.3"/>
    <n v="723"/>
    <n v="35"/>
    <n v="566"/>
    <n v="46"/>
    <s v="40+"/>
    <s v="Male"/>
    <n v="2"/>
    <x v="0"/>
    <x v="1"/>
    <x v="0"/>
    <x v="0"/>
  </r>
  <r>
    <n v="645"/>
    <s v="Google Pixel 5"/>
    <s v="Android"/>
    <n v="186"/>
    <n v="4.8"/>
    <n v="1494"/>
    <n v="53"/>
    <n v="949"/>
    <n v="20"/>
    <s v="&lt;25"/>
    <s v="Female"/>
    <n v="3"/>
    <x v="0"/>
    <x v="0"/>
    <x v="0"/>
    <x v="0"/>
  </r>
  <r>
    <n v="646"/>
    <s v="Xiaomi Mi 11"/>
    <s v="Android"/>
    <n v="174"/>
    <n v="2.9"/>
    <n v="1197"/>
    <n v="23"/>
    <n v="345"/>
    <n v="20"/>
    <s v="&lt;25"/>
    <s v="Female"/>
    <n v="2"/>
    <x v="0"/>
    <x v="1"/>
    <x v="0"/>
    <x v="0"/>
  </r>
  <r>
    <n v="647"/>
    <s v="Samsung Galaxy S21"/>
    <s v="Android"/>
    <n v="89"/>
    <n v="1.3"/>
    <n v="314"/>
    <n v="16"/>
    <n v="201"/>
    <n v="58"/>
    <s v="40+"/>
    <s v="Female"/>
    <n v="1"/>
    <x v="0"/>
    <x v="1"/>
    <x v="0"/>
    <x v="0"/>
  </r>
  <r>
    <n v="648"/>
    <s v="iPhone 12"/>
    <s v="iOS"/>
    <n v="66"/>
    <n v="1.5"/>
    <n v="565"/>
    <n v="17"/>
    <n v="283"/>
    <n v="42"/>
    <s v="40+"/>
    <s v="Female"/>
    <n v="1"/>
    <x v="0"/>
    <x v="1"/>
    <x v="0"/>
    <x v="0"/>
  </r>
  <r>
    <n v="649"/>
    <s v="iPhone 12"/>
    <s v="iOS"/>
    <n v="389"/>
    <n v="6.3"/>
    <n v="2294"/>
    <n v="76"/>
    <n v="1334"/>
    <n v="53"/>
    <s v="40+"/>
    <s v="Male"/>
    <n v="4"/>
    <x v="0"/>
    <x v="0"/>
    <x v="0"/>
    <x v="1"/>
  </r>
  <r>
    <n v="650"/>
    <s v="Xiaomi Mi 11"/>
    <s v="Android"/>
    <n v="186"/>
    <n v="5.4"/>
    <n v="1627"/>
    <n v="58"/>
    <n v="790"/>
    <n v="31"/>
    <s v="25–40"/>
    <s v="Female"/>
    <n v="3"/>
    <x v="0"/>
    <x v="0"/>
    <x v="0"/>
    <x v="0"/>
  </r>
  <r>
    <n v="651"/>
    <s v="Google Pixel 5"/>
    <s v="Android"/>
    <n v="149"/>
    <n v="2"/>
    <n v="1041"/>
    <n v="39"/>
    <n v="356"/>
    <n v="49"/>
    <s v="40+"/>
    <s v="Male"/>
    <n v="2"/>
    <x v="0"/>
    <x v="1"/>
    <x v="0"/>
    <x v="0"/>
  </r>
  <r>
    <n v="652"/>
    <s v="iPhone 12"/>
    <s v="iOS"/>
    <n v="69"/>
    <n v="1.7"/>
    <n v="519"/>
    <n v="10"/>
    <n v="167"/>
    <n v="51"/>
    <s v="40+"/>
    <s v="Female"/>
    <n v="1"/>
    <x v="0"/>
    <x v="1"/>
    <x v="0"/>
    <x v="0"/>
  </r>
  <r>
    <n v="653"/>
    <s v="Xiaomi Mi 11"/>
    <s v="Android"/>
    <n v="206"/>
    <n v="5.2"/>
    <n v="1632"/>
    <n v="47"/>
    <n v="694"/>
    <n v="30"/>
    <s v="25–40"/>
    <s v="Male"/>
    <n v="3"/>
    <x v="0"/>
    <x v="0"/>
    <x v="0"/>
    <x v="0"/>
  </r>
  <r>
    <n v="654"/>
    <s v="Samsung Galaxy S21"/>
    <s v="Android"/>
    <n v="49"/>
    <n v="1.2"/>
    <n v="365"/>
    <n v="19"/>
    <n v="144"/>
    <n v="29"/>
    <s v="25–40"/>
    <s v="Male"/>
    <n v="1"/>
    <x v="1"/>
    <x v="2"/>
    <x v="0"/>
    <x v="0"/>
  </r>
  <r>
    <n v="655"/>
    <s v="Google Pixel 5"/>
    <s v="Android"/>
    <n v="594"/>
    <n v="10.5"/>
    <n v="2839"/>
    <n v="91"/>
    <n v="1647"/>
    <n v="56"/>
    <s v="40+"/>
    <s v="Male"/>
    <n v="5"/>
    <x v="0"/>
    <x v="0"/>
    <x v="1"/>
    <x v="1"/>
  </r>
  <r>
    <n v="656"/>
    <s v="Google Pixel 5"/>
    <s v="Android"/>
    <n v="104"/>
    <n v="3.7"/>
    <n v="1028"/>
    <n v="29"/>
    <n v="493"/>
    <n v="39"/>
    <s v="25–40"/>
    <s v="Male"/>
    <n v="2"/>
    <x v="0"/>
    <x v="1"/>
    <x v="0"/>
    <x v="0"/>
  </r>
  <r>
    <n v="657"/>
    <s v="Google Pixel 5"/>
    <s v="Android"/>
    <n v="262"/>
    <n v="5.6"/>
    <n v="1489"/>
    <n v="59"/>
    <n v="628"/>
    <n v="54"/>
    <s v="40+"/>
    <s v="Female"/>
    <n v="3"/>
    <x v="0"/>
    <x v="0"/>
    <x v="0"/>
    <x v="0"/>
  </r>
  <r>
    <n v="658"/>
    <s v="Xiaomi Mi 11"/>
    <s v="Android"/>
    <n v="278"/>
    <n v="5.3"/>
    <n v="1368"/>
    <n v="56"/>
    <n v="894"/>
    <n v="40"/>
    <s v="25–40"/>
    <s v="Female"/>
    <n v="3"/>
    <x v="0"/>
    <x v="0"/>
    <x v="0"/>
    <x v="0"/>
  </r>
  <r>
    <n v="659"/>
    <s v="Xiaomi Mi 11"/>
    <s v="Android"/>
    <n v="463"/>
    <n v="6.8"/>
    <n v="2358"/>
    <n v="68"/>
    <n v="1236"/>
    <n v="43"/>
    <s v="40+"/>
    <s v="Female"/>
    <n v="4"/>
    <x v="0"/>
    <x v="0"/>
    <x v="0"/>
    <x v="1"/>
  </r>
  <r>
    <n v="660"/>
    <s v="Xiaomi Mi 11"/>
    <s v="Android"/>
    <n v="505"/>
    <n v="9.6"/>
    <n v="2464"/>
    <n v="91"/>
    <n v="2375"/>
    <n v="35"/>
    <s v="25–40"/>
    <s v="Male"/>
    <n v="5"/>
    <x v="0"/>
    <x v="0"/>
    <x v="1"/>
    <x v="1"/>
  </r>
  <r>
    <n v="661"/>
    <s v="Google Pixel 5"/>
    <s v="Android"/>
    <n v="50"/>
    <n v="1.5"/>
    <n v="387"/>
    <n v="12"/>
    <n v="146"/>
    <n v="59"/>
    <s v="40+"/>
    <s v="Male"/>
    <n v="1"/>
    <x v="1"/>
    <x v="2"/>
    <x v="0"/>
    <x v="0"/>
  </r>
  <r>
    <n v="662"/>
    <s v="Xiaomi Mi 11"/>
    <s v="Android"/>
    <n v="138"/>
    <n v="3.1"/>
    <n v="947"/>
    <n v="29"/>
    <n v="545"/>
    <n v="48"/>
    <s v="40+"/>
    <s v="Male"/>
    <n v="2"/>
    <x v="0"/>
    <x v="1"/>
    <x v="0"/>
    <x v="0"/>
  </r>
  <r>
    <n v="663"/>
    <s v="Xiaomi Mi 11"/>
    <s v="Android"/>
    <n v="130"/>
    <n v="3.2"/>
    <n v="1189"/>
    <n v="37"/>
    <n v="448"/>
    <n v="45"/>
    <s v="40+"/>
    <s v="Male"/>
    <n v="2"/>
    <x v="0"/>
    <x v="1"/>
    <x v="0"/>
    <x v="0"/>
  </r>
  <r>
    <n v="664"/>
    <s v="Google Pixel 5"/>
    <s v="Android"/>
    <n v="469"/>
    <n v="6.4"/>
    <n v="1858"/>
    <n v="78"/>
    <n v="1297"/>
    <n v="55"/>
    <s v="40+"/>
    <s v="Female"/>
    <n v="4"/>
    <x v="0"/>
    <x v="0"/>
    <x v="0"/>
    <x v="0"/>
  </r>
  <r>
    <n v="665"/>
    <s v="Xiaomi Mi 11"/>
    <s v="Android"/>
    <n v="555"/>
    <n v="10.3"/>
    <n v="2568"/>
    <n v="83"/>
    <n v="2003"/>
    <n v="52"/>
    <s v="40+"/>
    <s v="Male"/>
    <n v="5"/>
    <x v="0"/>
    <x v="0"/>
    <x v="1"/>
    <x v="1"/>
  </r>
  <r>
    <n v="666"/>
    <s v="iPhone 12"/>
    <s v="iOS"/>
    <n v="198"/>
    <n v="5.4"/>
    <n v="1544"/>
    <n v="53"/>
    <n v="635"/>
    <n v="53"/>
    <s v="40+"/>
    <s v="Male"/>
    <n v="3"/>
    <x v="0"/>
    <x v="0"/>
    <x v="0"/>
    <x v="0"/>
  </r>
  <r>
    <n v="667"/>
    <s v="Samsung Galaxy S21"/>
    <s v="Android"/>
    <n v="529"/>
    <n v="11.4"/>
    <n v="2891"/>
    <n v="82"/>
    <n v="1845"/>
    <n v="46"/>
    <s v="40+"/>
    <s v="Male"/>
    <n v="5"/>
    <x v="0"/>
    <x v="0"/>
    <x v="1"/>
    <x v="1"/>
  </r>
  <r>
    <n v="668"/>
    <s v="Samsung Galaxy S21"/>
    <s v="Android"/>
    <n v="205"/>
    <n v="5.5"/>
    <n v="1699"/>
    <n v="49"/>
    <n v="729"/>
    <n v="36"/>
    <s v="25–40"/>
    <s v="Male"/>
    <n v="3"/>
    <x v="0"/>
    <x v="0"/>
    <x v="0"/>
    <x v="0"/>
  </r>
  <r>
    <n v="669"/>
    <s v="iPhone 12"/>
    <s v="iOS"/>
    <n v="170"/>
    <n v="2.4"/>
    <n v="1039"/>
    <n v="38"/>
    <n v="334"/>
    <n v="23"/>
    <s v="&lt;25"/>
    <s v="Male"/>
    <n v="2"/>
    <x v="0"/>
    <x v="1"/>
    <x v="0"/>
    <x v="0"/>
  </r>
  <r>
    <n v="670"/>
    <s v="Samsung Galaxy S21"/>
    <s v="Android"/>
    <n v="160"/>
    <n v="3.2"/>
    <n v="648"/>
    <n v="31"/>
    <n v="339"/>
    <n v="27"/>
    <s v="25–40"/>
    <s v="Female"/>
    <n v="2"/>
    <x v="0"/>
    <x v="1"/>
    <x v="0"/>
    <x v="0"/>
  </r>
  <r>
    <n v="671"/>
    <s v="iPhone 12"/>
    <s v="iOS"/>
    <n v="81"/>
    <n v="1.6"/>
    <n v="387"/>
    <n v="13"/>
    <n v="224"/>
    <n v="48"/>
    <s v="40+"/>
    <s v="Male"/>
    <n v="1"/>
    <x v="0"/>
    <x v="1"/>
    <x v="0"/>
    <x v="0"/>
  </r>
  <r>
    <n v="672"/>
    <s v="Google Pixel 5"/>
    <s v="Android"/>
    <n v="468"/>
    <n v="7.3"/>
    <n v="1937"/>
    <n v="64"/>
    <n v="1209"/>
    <n v="22"/>
    <s v="&lt;25"/>
    <s v="Male"/>
    <n v="4"/>
    <x v="0"/>
    <x v="0"/>
    <x v="0"/>
    <x v="0"/>
  </r>
  <r>
    <n v="673"/>
    <s v="Xiaomi Mi 11"/>
    <s v="Android"/>
    <n v="500"/>
    <n v="11.2"/>
    <n v="2925"/>
    <n v="84"/>
    <n v="2438"/>
    <n v="27"/>
    <s v="25–40"/>
    <s v="Male"/>
    <n v="5"/>
    <x v="0"/>
    <x v="0"/>
    <x v="1"/>
    <x v="1"/>
  </r>
  <r>
    <n v="674"/>
    <s v="Google Pixel 5"/>
    <s v="Android"/>
    <n v="37"/>
    <n v="1.6"/>
    <n v="490"/>
    <n v="18"/>
    <n v="216"/>
    <n v="52"/>
    <s v="40+"/>
    <s v="Male"/>
    <n v="1"/>
    <x v="1"/>
    <x v="2"/>
    <x v="0"/>
    <x v="0"/>
  </r>
  <r>
    <n v="675"/>
    <s v="Xiaomi Mi 11"/>
    <s v="Android"/>
    <n v="522"/>
    <n v="11.4"/>
    <n v="2776"/>
    <n v="93"/>
    <n v="1768"/>
    <n v="27"/>
    <s v="25–40"/>
    <s v="Female"/>
    <n v="5"/>
    <x v="0"/>
    <x v="0"/>
    <x v="1"/>
    <x v="1"/>
  </r>
  <r>
    <n v="676"/>
    <s v="Xiaomi Mi 11"/>
    <s v="Android"/>
    <n v="81"/>
    <n v="1.5"/>
    <n v="545"/>
    <n v="17"/>
    <n v="159"/>
    <n v="40"/>
    <s v="25–40"/>
    <s v="Male"/>
    <n v="1"/>
    <x v="0"/>
    <x v="1"/>
    <x v="0"/>
    <x v="0"/>
  </r>
  <r>
    <n v="677"/>
    <s v="OnePlus 9"/>
    <s v="Android"/>
    <n v="141"/>
    <n v="3.8"/>
    <n v="689"/>
    <n v="38"/>
    <n v="576"/>
    <n v="34"/>
    <s v="25–40"/>
    <s v="Male"/>
    <n v="2"/>
    <x v="0"/>
    <x v="1"/>
    <x v="0"/>
    <x v="0"/>
  </r>
  <r>
    <n v="678"/>
    <s v="Samsung Galaxy S21"/>
    <s v="Android"/>
    <n v="115"/>
    <n v="3.5"/>
    <n v="706"/>
    <n v="26"/>
    <n v="495"/>
    <n v="52"/>
    <s v="40+"/>
    <s v="Female"/>
    <n v="2"/>
    <x v="0"/>
    <x v="1"/>
    <x v="0"/>
    <x v="0"/>
  </r>
  <r>
    <n v="679"/>
    <s v="Google Pixel 5"/>
    <s v="Android"/>
    <n v="298"/>
    <n v="4.5999999999999996"/>
    <n v="1525"/>
    <n v="59"/>
    <n v="814"/>
    <n v="36"/>
    <s v="25–40"/>
    <s v="Female"/>
    <n v="3"/>
    <x v="0"/>
    <x v="0"/>
    <x v="0"/>
    <x v="0"/>
  </r>
  <r>
    <n v="680"/>
    <s v="iPhone 12"/>
    <s v="iOS"/>
    <n v="33"/>
    <n v="1.8"/>
    <n v="334"/>
    <n v="16"/>
    <n v="113"/>
    <n v="36"/>
    <s v="25–40"/>
    <s v="Female"/>
    <n v="1"/>
    <x v="1"/>
    <x v="2"/>
    <x v="0"/>
    <x v="0"/>
  </r>
  <r>
    <n v="681"/>
    <s v="Google Pixel 5"/>
    <s v="Android"/>
    <n v="307"/>
    <n v="6.1"/>
    <n v="2105"/>
    <n v="76"/>
    <n v="1111"/>
    <n v="25"/>
    <s v="25–40"/>
    <s v="Female"/>
    <n v="4"/>
    <x v="0"/>
    <x v="0"/>
    <x v="0"/>
    <x v="0"/>
  </r>
  <r>
    <n v="682"/>
    <s v="Xiaomi Mi 11"/>
    <s v="Android"/>
    <n v="380"/>
    <n v="7.6"/>
    <n v="2354"/>
    <n v="77"/>
    <n v="1191"/>
    <n v="30"/>
    <s v="25–40"/>
    <s v="Male"/>
    <n v="4"/>
    <x v="0"/>
    <x v="0"/>
    <x v="0"/>
    <x v="1"/>
  </r>
  <r>
    <n v="683"/>
    <s v="Xiaomi Mi 11"/>
    <s v="Android"/>
    <n v="190"/>
    <n v="5.5"/>
    <n v="1718"/>
    <n v="58"/>
    <n v="815"/>
    <n v="42"/>
    <s v="40+"/>
    <s v="Male"/>
    <n v="3"/>
    <x v="0"/>
    <x v="0"/>
    <x v="0"/>
    <x v="0"/>
  </r>
  <r>
    <n v="684"/>
    <s v="Samsung Galaxy S21"/>
    <s v="Android"/>
    <n v="75"/>
    <n v="1.6"/>
    <n v="325"/>
    <n v="12"/>
    <n v="225"/>
    <n v="45"/>
    <s v="40+"/>
    <s v="Male"/>
    <n v="1"/>
    <x v="0"/>
    <x v="1"/>
    <x v="0"/>
    <x v="0"/>
  </r>
  <r>
    <n v="685"/>
    <s v="Google Pixel 5"/>
    <s v="Android"/>
    <n v="218"/>
    <n v="4"/>
    <n v="1221"/>
    <n v="47"/>
    <n v="822"/>
    <n v="25"/>
    <s v="25–40"/>
    <s v="Male"/>
    <n v="3"/>
    <x v="0"/>
    <x v="0"/>
    <x v="0"/>
    <x v="0"/>
  </r>
  <r>
    <n v="686"/>
    <s v="Xiaomi Mi 11"/>
    <s v="Android"/>
    <n v="412"/>
    <n v="6.6"/>
    <n v="1859"/>
    <n v="67"/>
    <n v="1393"/>
    <n v="18"/>
    <s v="&lt;25"/>
    <s v="Male"/>
    <n v="4"/>
    <x v="0"/>
    <x v="0"/>
    <x v="1"/>
    <x v="0"/>
  </r>
  <r>
    <n v="687"/>
    <s v="Google Pixel 5"/>
    <s v="Android"/>
    <n v="335"/>
    <n v="7.7"/>
    <n v="2037"/>
    <n v="68"/>
    <n v="1007"/>
    <n v="18"/>
    <s v="&lt;25"/>
    <s v="Male"/>
    <n v="4"/>
    <x v="0"/>
    <x v="0"/>
    <x v="0"/>
    <x v="0"/>
  </r>
  <r>
    <n v="688"/>
    <s v="OnePlus 9"/>
    <s v="Android"/>
    <n v="387"/>
    <n v="6.3"/>
    <n v="2098"/>
    <n v="61"/>
    <n v="1178"/>
    <n v="54"/>
    <s v="40+"/>
    <s v="Male"/>
    <n v="4"/>
    <x v="0"/>
    <x v="0"/>
    <x v="0"/>
    <x v="0"/>
  </r>
  <r>
    <n v="689"/>
    <s v="Google Pixel 5"/>
    <s v="Android"/>
    <n v="261"/>
    <n v="4.9000000000000004"/>
    <n v="1589"/>
    <n v="56"/>
    <n v="824"/>
    <n v="52"/>
    <s v="40+"/>
    <s v="Female"/>
    <n v="3"/>
    <x v="0"/>
    <x v="0"/>
    <x v="0"/>
    <x v="0"/>
  </r>
  <r>
    <n v="690"/>
    <s v="Samsung Galaxy S21"/>
    <s v="Android"/>
    <n v="541"/>
    <n v="9.5"/>
    <n v="2424"/>
    <n v="98"/>
    <n v="1550"/>
    <n v="32"/>
    <s v="25–40"/>
    <s v="Male"/>
    <n v="5"/>
    <x v="0"/>
    <x v="0"/>
    <x v="1"/>
    <x v="1"/>
  </r>
  <r>
    <n v="691"/>
    <s v="Google Pixel 5"/>
    <s v="Android"/>
    <n v="195"/>
    <n v="5.7"/>
    <n v="1447"/>
    <n v="48"/>
    <n v="679"/>
    <n v="30"/>
    <s v="25–40"/>
    <s v="Male"/>
    <n v="3"/>
    <x v="0"/>
    <x v="0"/>
    <x v="0"/>
    <x v="0"/>
  </r>
  <r>
    <n v="692"/>
    <s v="iPhone 12"/>
    <s v="iOS"/>
    <n v="178"/>
    <n v="4"/>
    <n v="856"/>
    <n v="37"/>
    <n v="569"/>
    <n v="51"/>
    <s v="40+"/>
    <s v="Female"/>
    <n v="2"/>
    <x v="0"/>
    <x v="1"/>
    <x v="0"/>
    <x v="0"/>
  </r>
  <r>
    <n v="693"/>
    <s v="Xiaomi Mi 11"/>
    <s v="Android"/>
    <n v="378"/>
    <n v="6.7"/>
    <n v="1898"/>
    <n v="78"/>
    <n v="1455"/>
    <n v="48"/>
    <s v="40+"/>
    <s v="Female"/>
    <n v="4"/>
    <x v="0"/>
    <x v="0"/>
    <x v="1"/>
    <x v="0"/>
  </r>
  <r>
    <n v="694"/>
    <s v="Xiaomi Mi 11"/>
    <s v="Android"/>
    <n v="505"/>
    <n v="8.6"/>
    <n v="2792"/>
    <n v="82"/>
    <n v="1709"/>
    <n v="31"/>
    <s v="25–40"/>
    <s v="Male"/>
    <n v="5"/>
    <x v="0"/>
    <x v="0"/>
    <x v="1"/>
    <x v="1"/>
  </r>
  <r>
    <n v="695"/>
    <s v="Samsung Galaxy S21"/>
    <s v="Android"/>
    <n v="564"/>
    <n v="9.6999999999999993"/>
    <n v="2422"/>
    <n v="83"/>
    <n v="1985"/>
    <n v="34"/>
    <s v="25–40"/>
    <s v="Female"/>
    <n v="5"/>
    <x v="0"/>
    <x v="0"/>
    <x v="1"/>
    <x v="1"/>
  </r>
  <r>
    <n v="696"/>
    <s v="iPhone 12"/>
    <s v="iOS"/>
    <n v="92"/>
    <n v="3.9"/>
    <n v="1082"/>
    <n v="26"/>
    <n v="381"/>
    <n v="22"/>
    <s v="&lt;25"/>
    <s v="Male"/>
    <n v="2"/>
    <x v="0"/>
    <x v="1"/>
    <x v="0"/>
    <x v="0"/>
  </r>
  <r>
    <n v="697"/>
    <s v="Xiaomi Mi 11"/>
    <s v="Android"/>
    <n v="316"/>
    <n v="6.8"/>
    <n v="1965"/>
    <n v="68"/>
    <n v="1201"/>
    <n v="59"/>
    <s v="40+"/>
    <s v="Male"/>
    <n v="4"/>
    <x v="0"/>
    <x v="0"/>
    <x v="0"/>
    <x v="0"/>
  </r>
  <r>
    <n v="698"/>
    <s v="Google Pixel 5"/>
    <s v="Android"/>
    <n v="99"/>
    <n v="3.1"/>
    <n v="942"/>
    <n v="22"/>
    <n v="457"/>
    <n v="50"/>
    <s v="40+"/>
    <s v="Female"/>
    <n v="2"/>
    <x v="0"/>
    <x v="1"/>
    <x v="0"/>
    <x v="0"/>
  </r>
  <r>
    <n v="699"/>
    <s v="Samsung Galaxy S21"/>
    <s v="Android"/>
    <n v="62"/>
    <n v="1.7"/>
    <n v="431"/>
    <n v="13"/>
    <n v="224"/>
    <n v="44"/>
    <s v="40+"/>
    <s v="Male"/>
    <n v="1"/>
    <x v="0"/>
    <x v="1"/>
    <x v="0"/>
    <x v="0"/>
  </r>
  <r>
    <n v="700"/>
    <s v="OnePlus 9"/>
    <s v="Android"/>
    <n v="212"/>
    <n v="5.4"/>
    <n v="1306"/>
    <n v="49"/>
    <n v="828"/>
    <n v="23"/>
    <s v="&lt;25"/>
    <s v="Female"/>
    <n v="3"/>
    <x v="0"/>
    <x v="0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669827-40BB-45EC-83B3-08BB4B707399}" name="PivotTable1" cacheId="16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5">
  <location ref="A3:B6" firstHeaderRow="1" firstDataRow="1" firstDataCol="1"/>
  <pivotFields count="16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</pivotFields>
  <rowFields count="1">
    <field x="12"/>
  </rowFields>
  <rowItems count="3">
    <i>
      <x/>
    </i>
    <i>
      <x v="1"/>
    </i>
    <i t="grand">
      <x/>
    </i>
  </rowItems>
  <colItems count="1">
    <i/>
  </colItems>
  <dataFields count="1">
    <dataField name="Count of User ID" fld="0" subtotal="count" showDataAs="percentOfCol" baseField="11" baseItem="0" numFmtId="10"/>
  </dataFields>
  <chartFormats count="2">
    <chartFormat chart="18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FAA68C-291D-4874-9BF1-0FC5465054A3}" name="PivotTable3" cacheId="16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>
  <location ref="A3:B7" firstHeaderRow="1" firstDataRow="1" firstDataCol="1"/>
  <pivotFields count="16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</pivotFields>
  <rowFields count="1">
    <field x="1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User ID" fld="0" subtotal="count" baseField="0" baseItem="0"/>
  </dataFields>
  <chartFormats count="1"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DE011A-5566-4AE0-A1E1-78F88385A7F3}" name="PivotTable6" cacheId="16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0">
  <location ref="A3:B7" firstHeaderRow="1" firstDataRow="1" firstDataCol="1"/>
  <pivotFields count="16"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</pivotFields>
  <rowFields count="1">
    <field x="1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App Usage Time (min/day)" fld="3" subtotal="average" baseField="0" baseItem="0" numFmtId="1"/>
  </dataFields>
  <chartFormats count="4">
    <chartFormat chart="15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6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5" format="7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5" format="8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B3965B-C889-442B-B7C3-0647489BEF43}" name="PivotTable9" cacheId="16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7" firstHeaderRow="1" firstDataRow="1" firstDataCol="1"/>
  <pivotFields count="16"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</pivotFields>
  <rowFields count="1">
    <field x="1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Screen On Time (hours/day)" fld="4" subtotal="average" baseField="12" baseItem="0" numFmtId="1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26062B-87EE-4389-AA39-2EB8BAEDA142}" name="PivotTable10" cacheId="16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A3:B7" firstHeaderRow="1" firstDataRow="1" firstDataCol="1"/>
  <pivotFields count="16"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</pivotFields>
  <rowFields count="1">
    <field x="1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Data Usage (MB/day)" fld="7" subtotal="average" baseField="12" baseItem="0" numFmtId="1"/>
  </dataFields>
  <chartFormats count="1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6F28CC-A461-4EBC-8C3C-21B0E138ED65}" name="PivotTable11" cacheId="16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4">
  <location ref="A3:B7" firstHeaderRow="1" firstDataRow="1" firstDataCol="1"/>
  <pivotFields count="16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</pivotFields>
  <rowFields count="1">
    <field x="1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Battery Drain (mAh/day)" fld="5" subtotal="average" baseField="12" baseItem="0" numFmtId="1"/>
  </dataFields>
  <chartFormats count="1">
    <chartFormat chart="1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7CA6C0-D3F6-4095-B74F-D1420EB2893B}" name="PivotTable12" cacheId="16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A3:B6" firstHeaderRow="1" firstDataRow="1" firstDataCol="1"/>
  <pivotFields count="16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</pivotFields>
  <rowFields count="1">
    <field x="14"/>
  </rowFields>
  <rowItems count="3">
    <i>
      <x/>
    </i>
    <i>
      <x v="1"/>
    </i>
    <i t="grand">
      <x/>
    </i>
  </rowItems>
  <colItems count="1">
    <i/>
  </colItems>
  <dataFields count="1">
    <dataField name="Count of User ID" fld="0" subtotal="count" showDataAs="percentOfCol" baseField="13" baseItem="0" numFmtId="9"/>
  </dataField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378183-2085-4AD2-B6C8-57D1226BC581}" name="PivotTable13" cacheId="16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3:B6" firstHeaderRow="1" firstDataRow="1" firstDataCol="1"/>
  <pivotFields count="16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</pivotFields>
  <rowFields count="1">
    <field x="15"/>
  </rowFields>
  <rowItems count="3">
    <i>
      <x/>
    </i>
    <i>
      <x v="1"/>
    </i>
    <i t="grand">
      <x/>
    </i>
  </rowItems>
  <colItems count="1">
    <i/>
  </colItems>
  <dataFields count="1">
    <dataField name="Count of User ID" fld="0" subtotal="count" showDataAs="percentOfCol" baseField="14" baseItem="0" numFmtId="9"/>
  </dataFields>
  <chartFormats count="1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C6A1C4-20E2-407A-A8D7-3C80758C0C1F}" name="PivotTable24" cacheId="16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D7" firstHeaderRow="0" firstDataRow="1" firstDataCol="1"/>
  <pivotFields count="17">
    <pivotField showAll="0"/>
    <pivotField showAll="0"/>
    <pivotField showAll="0"/>
    <pivotField dataField="1"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5">
        <item x="0"/>
        <item x="2"/>
        <item x="1"/>
        <item h="1" x="3"/>
        <item t="default"/>
      </items>
    </pivotField>
    <pivotField showAll="0"/>
    <pivotField showAll="0"/>
    <pivotField showAll="0"/>
  </pivotFields>
  <rowFields count="1">
    <field x="13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App Usage Time (min/day)" fld="3" subtotal="average" baseField="0" baseItem="0" numFmtId="1"/>
    <dataField name="Average of Battery Drain (mAh/day)" fld="5" subtotal="average" baseField="0" baseItem="0" numFmtId="1"/>
    <dataField name="Average of Data Usage (MB/day)" fld="7" subtotal="average" baseField="0" baseItem="0" numFmtId="1"/>
  </dataFields>
  <chartFormats count="3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2C7745-FD19-4EE3-B49D-D7D1FD74D010}" name="PivotTable25" cacheId="16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E8" firstHeaderRow="1" firstDataRow="2" firstDataCol="1"/>
  <pivotFields count="17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0"/>
        <item x="1"/>
        <item h="1" x="3"/>
        <item t="default"/>
      </items>
    </pivotField>
    <pivotField showAll="0"/>
    <pivotField showAll="0"/>
    <pivotField showAll="0"/>
    <pivotField axis="axisCol" showAll="0">
      <items count="5">
        <item x="0"/>
        <item x="2"/>
        <item x="1"/>
        <item x="3"/>
        <item t="default"/>
      </items>
    </pivotField>
    <pivotField showAll="0"/>
    <pivotField showAll="0"/>
    <pivotField showAll="0"/>
  </pivotFields>
  <rowFields count="1">
    <field x="9"/>
  </rowFields>
  <rowItems count="4">
    <i>
      <x/>
    </i>
    <i>
      <x v="1"/>
    </i>
    <i>
      <x v="2"/>
    </i>
    <i t="grand">
      <x/>
    </i>
  </rowItems>
  <colFields count="1">
    <field x="13"/>
  </colFields>
  <colItems count="4">
    <i>
      <x/>
    </i>
    <i>
      <x v="1"/>
    </i>
    <i>
      <x v="2"/>
    </i>
    <i t="grand">
      <x/>
    </i>
  </colItems>
  <dataFields count="1">
    <dataField name="Count of User ID" fld="0" subtotal="count" baseField="9" baseItem="0"/>
  </dataFields>
  <chartFormats count="4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45F15E-4B63-423D-8CBD-0F9EB2D387AE}" name="PivotTable8" cacheId="16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>
  <location ref="R3:S7" firstHeaderRow="1" firstDataRow="1" firstDataCol="1"/>
  <pivotFields count="16"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</pivotFields>
  <rowFields count="1">
    <field x="1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App Usage Time (min/day)" fld="3" subtotal="average" baseField="0" baseItem="0" numFmtId="1"/>
  </dataFields>
  <chartFormats count="4">
    <chartFormat chart="1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2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4" format="3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4" format="4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1F95CC-4715-4944-A32B-EE455A93CB97}" name="PivotTable5" cacheId="16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J3:K7" firstHeaderRow="1" firstDataRow="1" firstDataCol="1"/>
  <pivotFields count="16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</pivotFields>
  <rowFields count="1">
    <field x="1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User ID" fld="0" subtotal="count" baseField="0" baseItem="0"/>
  </dataFields>
  <chartFormats count="1">
    <chartFormat chart="9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A93960-71A6-48CF-9C81-2AD9D498E486}" name="PivotTable2" cacheId="16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9">
  <location ref="A3:B6" firstHeaderRow="1" firstDataRow="1" firstDataCol="1"/>
  <pivotFields count="16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</pivotFields>
  <rowFields count="1">
    <field x="12"/>
  </rowFields>
  <rowItems count="3">
    <i>
      <x/>
    </i>
    <i>
      <x v="1"/>
    </i>
    <i t="grand">
      <x/>
    </i>
  </rowItems>
  <colItems count="1">
    <i/>
  </colItems>
  <dataFields count="1">
    <dataField name="Count of User ID" fld="0" subtotal="count" showDataAs="percentOfCol" baseField="11" baseItem="0" numFmtId="10"/>
  </dataFields>
  <chartFormats count="1">
    <chartFormat chart="18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362FBD1-3B30-4098-B6F4-8FD26E0C72E5}" name="Table2" displayName="Table2" ref="A1:P705" totalsRowShown="0" headerRowDxfId="0">
  <tableColumns count="16">
    <tableColumn id="1" xr3:uid="{ECB6068E-4023-4470-A95D-61431D675664}" name="User ID"/>
    <tableColumn id="2" xr3:uid="{D3A5A006-B16A-4042-B65F-6F3AAFD8F688}" name="Device Model"/>
    <tableColumn id="3" xr3:uid="{E6806DEC-1834-478E-9C96-5855846F7367}" name="Operating System"/>
    <tableColumn id="4" xr3:uid="{BA9DC5BA-CD85-4C4C-ACF2-88F23E41A6F2}" name="App Usage Time (min/day)"/>
    <tableColumn id="5" xr3:uid="{3CE4F379-2DF5-4411-9115-F150002E297E}" name="Screen On Time (hours/day)"/>
    <tableColumn id="6" xr3:uid="{A977DCE3-449D-44AD-AC22-27F3081BBB38}" name="Battery Drain (mAh/day)"/>
    <tableColumn id="7" xr3:uid="{ED785F43-A505-4DBE-BDBB-440260850C03}" name="Number of Apps Installed"/>
    <tableColumn id="8" xr3:uid="{399EA566-E913-4EE8-89F6-BECC920C3138}" name="Data Usage (MB/day)"/>
    <tableColumn id="9" xr3:uid="{E809411D-FCE3-46C1-8EE6-9A9660FDC724}" name="Age"/>
    <tableColumn id="10" xr3:uid="{000F597D-C08D-41DE-89B7-413A2FAA7E73}" name="Age Group"/>
    <tableColumn id="11" xr3:uid="{FC9BB0AE-4C27-466B-8FA8-654C7525D133}" name="Gender"/>
    <tableColumn id="12" xr3:uid="{112F738B-E1DB-4C8B-9929-94FB4F9E4655}" name="User Behavior Class"/>
    <tableColumn id="13" xr3:uid="{3EAB01B6-4796-4F76-B921-DE8BABDD61AC}" name="Active_User_60min"/>
    <tableColumn id="14" xr3:uid="{CE3DE593-C569-4946-A041-816F45C9E659}" name="Engagement_Level"/>
    <tableColumn id="15" xr3:uid="{51380520-6080-46AF-9FA6-1846A33FFD6F}" name="High_Data_User"/>
    <tableColumn id="16" xr3:uid="{8766211D-160C-40A4-817B-DBB71F4B9040}" name="High_Battery_Usag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8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9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ivotTable" Target="../pivotTables/pivotTable10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3.xml"/><Relationship Id="rId2" Type="http://schemas.openxmlformats.org/officeDocument/2006/relationships/pivotTable" Target="../pivotTables/pivotTable12.xml"/><Relationship Id="rId1" Type="http://schemas.openxmlformats.org/officeDocument/2006/relationships/pivotTable" Target="../pivotTables/pivotTable11.xml"/><Relationship Id="rId4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DF792-6A58-4ED7-8FDF-CB60BB982D68}">
  <dimension ref="A1:P702"/>
  <sheetViews>
    <sheetView tabSelected="1" workbookViewId="0">
      <selection activeCell="F10" sqref="F10"/>
    </sheetView>
  </sheetViews>
  <sheetFormatPr defaultRowHeight="14.4" x14ac:dyDescent="0.3"/>
  <cols>
    <col min="2" max="2" width="17.6640625" customWidth="1"/>
    <col min="3" max="3" width="18.6640625" customWidth="1"/>
    <col min="4" max="4" width="26" customWidth="1"/>
    <col min="5" max="5" width="26.33203125" customWidth="1"/>
    <col min="6" max="6" width="23.44140625" customWidth="1"/>
    <col min="7" max="7" width="25.21875" customWidth="1"/>
    <col min="8" max="8" width="21.33203125" customWidth="1"/>
    <col min="9" max="10" width="19.109375" customWidth="1"/>
    <col min="11" max="11" width="11.88671875" customWidth="1"/>
    <col min="12" max="12" width="20.88671875" customWidth="1"/>
    <col min="13" max="13" width="27" customWidth="1"/>
    <col min="14" max="14" width="19.33203125" customWidth="1"/>
    <col min="15" max="15" width="16" customWidth="1"/>
    <col min="16" max="16" width="19.21875" customWidth="1"/>
    <col min="17" max="17" width="14.109375" bestFit="1" customWidth="1"/>
    <col min="18" max="18" width="29.109375" bestFit="1" customWidth="1"/>
  </cols>
  <sheetData>
    <row r="1" spans="1:16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36</v>
      </c>
      <c r="K1" s="1" t="s">
        <v>9</v>
      </c>
      <c r="L1" s="1" t="s">
        <v>10</v>
      </c>
      <c r="M1" s="1" t="s">
        <v>27</v>
      </c>
      <c r="N1" s="1" t="s">
        <v>20</v>
      </c>
      <c r="O1" s="1" t="s">
        <v>21</v>
      </c>
      <c r="P1" s="1" t="s">
        <v>22</v>
      </c>
    </row>
    <row r="2" spans="1:16" x14ac:dyDescent="0.3">
      <c r="A2">
        <v>1</v>
      </c>
      <c r="B2" t="s">
        <v>11</v>
      </c>
      <c r="C2" t="s">
        <v>12</v>
      </c>
      <c r="D2">
        <v>393</v>
      </c>
      <c r="E2">
        <v>6.4</v>
      </c>
      <c r="F2">
        <v>1872</v>
      </c>
      <c r="G2">
        <v>67</v>
      </c>
      <c r="H2">
        <v>1122</v>
      </c>
      <c r="I2">
        <v>40</v>
      </c>
      <c r="J2" t="str">
        <f>IF(I2="","Unknown",IF(I2&lt;25,"&lt;25",IF(I2&lt;=40,"25–40","40+")))</f>
        <v>25–40</v>
      </c>
      <c r="K2" t="s">
        <v>13</v>
      </c>
      <c r="L2">
        <v>4</v>
      </c>
      <c r="M2" t="str">
        <f>M6</f>
        <v>Yes</v>
      </c>
      <c r="N2" t="str">
        <f>IF(user_behavior_dataset!$D2&lt;60,"Low",
IF(user_behavior_dataset!$D2&lt;=180,"Medium","High"))</f>
        <v>High</v>
      </c>
      <c r="O2" t="str">
        <f>IF(user_behavior_dataset!$H2&gt;=1341,"Yes","No")</f>
        <v>No</v>
      </c>
      <c r="P2" t="str">
        <f>IF(user_behavior_dataset!$F2&gt;=2229,"Yes","No")</f>
        <v>No</v>
      </c>
    </row>
    <row r="3" spans="1:16" x14ac:dyDescent="0.3">
      <c r="A3">
        <v>2</v>
      </c>
      <c r="B3" t="s">
        <v>14</v>
      </c>
      <c r="C3" t="s">
        <v>12</v>
      </c>
      <c r="D3">
        <v>268</v>
      </c>
      <c r="E3">
        <v>4.7</v>
      </c>
      <c r="F3">
        <v>1331</v>
      </c>
      <c r="G3">
        <v>42</v>
      </c>
      <c r="H3">
        <v>944</v>
      </c>
      <c r="I3">
        <v>47</v>
      </c>
      <c r="J3" t="str">
        <f t="shared" ref="J3:J66" si="0">IF(I3="","Unknown",IF(I3&lt;25,"&lt;25",IF(I3&lt;=40,"25–40","40+")))</f>
        <v>40+</v>
      </c>
      <c r="K3" t="s">
        <v>15</v>
      </c>
      <c r="L3">
        <v>3</v>
      </c>
      <c r="M3" t="str">
        <f t="shared" ref="M3:M66" si="1">IF(D3&gt;=60,"Yes","No")</f>
        <v>Yes</v>
      </c>
      <c r="N3" t="str">
        <f>IF(user_behavior_dataset!$D3&lt;60,"Low",
IF(user_behavior_dataset!$D3&lt;=180,"Medium","High"))</f>
        <v>High</v>
      </c>
      <c r="O3" t="str">
        <f>IF(user_behavior_dataset!$H3&gt;=1341,"Yes","No")</f>
        <v>No</v>
      </c>
      <c r="P3" t="str">
        <f>IF(user_behavior_dataset!$F3&gt;=2229,"Yes","No")</f>
        <v>No</v>
      </c>
    </row>
    <row r="4" spans="1:16" x14ac:dyDescent="0.3">
      <c r="A4">
        <v>3</v>
      </c>
      <c r="B4" t="s">
        <v>16</v>
      </c>
      <c r="C4" t="s">
        <v>12</v>
      </c>
      <c r="D4">
        <v>154</v>
      </c>
      <c r="E4">
        <v>4</v>
      </c>
      <c r="F4">
        <v>761</v>
      </c>
      <c r="G4">
        <v>32</v>
      </c>
      <c r="H4">
        <v>322</v>
      </c>
      <c r="I4">
        <v>42</v>
      </c>
      <c r="J4" t="str">
        <f t="shared" si="0"/>
        <v>40+</v>
      </c>
      <c r="K4" t="s">
        <v>13</v>
      </c>
      <c r="L4">
        <v>2</v>
      </c>
      <c r="M4" t="str">
        <f t="shared" si="1"/>
        <v>Yes</v>
      </c>
      <c r="N4" t="str">
        <f>IF(user_behavior_dataset!$D4&lt;60,"Low",
IF(user_behavior_dataset!$D4&lt;=180,"Medium","High"))</f>
        <v>Medium</v>
      </c>
      <c r="O4" t="str">
        <f>IF(user_behavior_dataset!$H4&gt;=1341,"Yes","No")</f>
        <v>No</v>
      </c>
      <c r="P4" t="str">
        <f>IF(user_behavior_dataset!$F4&gt;=2229,"Yes","No")</f>
        <v>No</v>
      </c>
    </row>
    <row r="5" spans="1:16" x14ac:dyDescent="0.3">
      <c r="A5">
        <v>4</v>
      </c>
      <c r="B5" t="s">
        <v>11</v>
      </c>
      <c r="C5" t="s">
        <v>12</v>
      </c>
      <c r="D5">
        <v>239</v>
      </c>
      <c r="E5">
        <v>4.8</v>
      </c>
      <c r="F5">
        <v>1676</v>
      </c>
      <c r="G5">
        <v>56</v>
      </c>
      <c r="H5">
        <v>871</v>
      </c>
      <c r="I5">
        <v>20</v>
      </c>
      <c r="J5" t="str">
        <f t="shared" si="0"/>
        <v>&lt;25</v>
      </c>
      <c r="K5" t="s">
        <v>13</v>
      </c>
      <c r="L5">
        <v>3</v>
      </c>
      <c r="M5" t="str">
        <f t="shared" si="1"/>
        <v>Yes</v>
      </c>
      <c r="N5" t="str">
        <f>IF(user_behavior_dataset!$D5&lt;60,"Low",
IF(user_behavior_dataset!$D5&lt;=180,"Medium","High"))</f>
        <v>High</v>
      </c>
      <c r="O5" t="str">
        <f>IF(user_behavior_dataset!$H5&gt;=1341,"Yes","No")</f>
        <v>No</v>
      </c>
      <c r="P5" t="str">
        <f>IF(user_behavior_dataset!$F5&gt;=2229,"Yes","No")</f>
        <v>No</v>
      </c>
    </row>
    <row r="6" spans="1:16" x14ac:dyDescent="0.3">
      <c r="A6">
        <v>5</v>
      </c>
      <c r="B6" t="s">
        <v>17</v>
      </c>
      <c r="C6" t="s">
        <v>18</v>
      </c>
      <c r="D6">
        <v>187</v>
      </c>
      <c r="E6">
        <v>4.3</v>
      </c>
      <c r="F6">
        <v>1367</v>
      </c>
      <c r="G6">
        <v>58</v>
      </c>
      <c r="H6">
        <v>988</v>
      </c>
      <c r="I6">
        <v>31</v>
      </c>
      <c r="J6" t="str">
        <f t="shared" si="0"/>
        <v>25–40</v>
      </c>
      <c r="K6" t="s">
        <v>15</v>
      </c>
      <c r="L6">
        <v>3</v>
      </c>
      <c r="M6" t="str">
        <f t="shared" si="1"/>
        <v>Yes</v>
      </c>
      <c r="N6" t="str">
        <f>IF(user_behavior_dataset!$D6&lt;60,"Low",
IF(user_behavior_dataset!$D6&lt;=180,"Medium","High"))</f>
        <v>High</v>
      </c>
      <c r="O6" t="str">
        <f>IF(user_behavior_dataset!$H6&gt;=1341,"Yes","No")</f>
        <v>No</v>
      </c>
      <c r="P6" t="str">
        <f>IF(user_behavior_dataset!$F6&gt;=2229,"Yes","No")</f>
        <v>No</v>
      </c>
    </row>
    <row r="7" spans="1:16" x14ac:dyDescent="0.3">
      <c r="A7">
        <v>6</v>
      </c>
      <c r="B7" t="s">
        <v>11</v>
      </c>
      <c r="C7" t="s">
        <v>12</v>
      </c>
      <c r="D7">
        <v>99</v>
      </c>
      <c r="E7">
        <v>2</v>
      </c>
      <c r="F7">
        <v>940</v>
      </c>
      <c r="G7">
        <v>35</v>
      </c>
      <c r="H7">
        <v>564</v>
      </c>
      <c r="I7">
        <v>31</v>
      </c>
      <c r="J7" t="str">
        <f t="shared" si="0"/>
        <v>25–40</v>
      </c>
      <c r="K7" t="s">
        <v>13</v>
      </c>
      <c r="L7">
        <v>2</v>
      </c>
      <c r="M7" t="str">
        <f t="shared" si="1"/>
        <v>Yes</v>
      </c>
      <c r="N7" t="str">
        <f>IF(user_behavior_dataset!$D7&lt;60,"Low",
IF(user_behavior_dataset!$D7&lt;=180,"Medium","High"))</f>
        <v>Medium</v>
      </c>
      <c r="O7" t="str">
        <f>IF(user_behavior_dataset!$H7&gt;=1341,"Yes","No")</f>
        <v>No</v>
      </c>
      <c r="P7" t="str">
        <f>IF(user_behavior_dataset!$F7&gt;=2229,"Yes","No")</f>
        <v>No</v>
      </c>
    </row>
    <row r="8" spans="1:16" x14ac:dyDescent="0.3">
      <c r="A8">
        <v>7</v>
      </c>
      <c r="B8" t="s">
        <v>19</v>
      </c>
      <c r="C8" t="s">
        <v>12</v>
      </c>
      <c r="D8">
        <v>350</v>
      </c>
      <c r="E8">
        <v>7.3</v>
      </c>
      <c r="F8">
        <v>1802</v>
      </c>
      <c r="G8">
        <v>66</v>
      </c>
      <c r="H8">
        <v>1054</v>
      </c>
      <c r="I8">
        <v>21</v>
      </c>
      <c r="J8" t="str">
        <f t="shared" si="0"/>
        <v>&lt;25</v>
      </c>
      <c r="K8" t="s">
        <v>15</v>
      </c>
      <c r="L8">
        <v>4</v>
      </c>
      <c r="M8" t="str">
        <f t="shared" si="1"/>
        <v>Yes</v>
      </c>
      <c r="N8" t="str">
        <f>IF(user_behavior_dataset!$D8&lt;60,"Low",
IF(user_behavior_dataset!$D8&lt;=180,"Medium","High"))</f>
        <v>High</v>
      </c>
      <c r="O8" t="str">
        <f>IF(user_behavior_dataset!$H8&gt;=1341,"Yes","No")</f>
        <v>No</v>
      </c>
      <c r="P8" t="str">
        <f>IF(user_behavior_dataset!$F8&gt;=2229,"Yes","No")</f>
        <v>No</v>
      </c>
    </row>
    <row r="9" spans="1:16" x14ac:dyDescent="0.3">
      <c r="A9">
        <v>8</v>
      </c>
      <c r="B9" t="s">
        <v>14</v>
      </c>
      <c r="C9" t="s">
        <v>12</v>
      </c>
      <c r="D9">
        <v>543</v>
      </c>
      <c r="E9">
        <v>11.4</v>
      </c>
      <c r="F9">
        <v>2956</v>
      </c>
      <c r="G9">
        <v>82</v>
      </c>
      <c r="H9">
        <v>1702</v>
      </c>
      <c r="I9">
        <v>31</v>
      </c>
      <c r="J9" t="str">
        <f t="shared" si="0"/>
        <v>25–40</v>
      </c>
      <c r="K9" t="s">
        <v>13</v>
      </c>
      <c r="L9">
        <v>5</v>
      </c>
      <c r="M9" t="str">
        <f t="shared" si="1"/>
        <v>Yes</v>
      </c>
      <c r="N9" t="str">
        <f>IF(user_behavior_dataset!$D9&lt;60,"Low",
IF(user_behavior_dataset!$D9&lt;=180,"Medium","High"))</f>
        <v>High</v>
      </c>
      <c r="O9" t="str">
        <f>IF(user_behavior_dataset!$H9&gt;=1341,"Yes","No")</f>
        <v>Yes</v>
      </c>
      <c r="P9" t="str">
        <f>IF(user_behavior_dataset!$F9&gt;=2229,"Yes","No")</f>
        <v>Yes</v>
      </c>
    </row>
    <row r="10" spans="1:16" x14ac:dyDescent="0.3">
      <c r="A10">
        <v>9</v>
      </c>
      <c r="B10" t="s">
        <v>19</v>
      </c>
      <c r="C10" t="s">
        <v>12</v>
      </c>
      <c r="D10">
        <v>340</v>
      </c>
      <c r="E10">
        <v>7.7</v>
      </c>
      <c r="F10">
        <v>2138</v>
      </c>
      <c r="G10">
        <v>75</v>
      </c>
      <c r="H10">
        <v>1053</v>
      </c>
      <c r="I10">
        <v>42</v>
      </c>
      <c r="J10" t="str">
        <f t="shared" si="0"/>
        <v>40+</v>
      </c>
      <c r="K10" t="s">
        <v>15</v>
      </c>
      <c r="L10">
        <v>4</v>
      </c>
      <c r="M10" t="str">
        <f t="shared" si="1"/>
        <v>Yes</v>
      </c>
      <c r="N10" t="str">
        <f>IF(user_behavior_dataset!$D10&lt;60,"Low",
IF(user_behavior_dataset!$D10&lt;=180,"Medium","High"))</f>
        <v>High</v>
      </c>
      <c r="O10" t="str">
        <f>IF(user_behavior_dataset!$H10&gt;=1341,"Yes","No")</f>
        <v>No</v>
      </c>
      <c r="P10" t="str">
        <f>IF(user_behavior_dataset!$F10&gt;=2229,"Yes","No")</f>
        <v>No</v>
      </c>
    </row>
    <row r="11" spans="1:16" x14ac:dyDescent="0.3">
      <c r="A11">
        <v>10</v>
      </c>
      <c r="B11" t="s">
        <v>17</v>
      </c>
      <c r="C11" t="s">
        <v>18</v>
      </c>
      <c r="D11">
        <v>424</v>
      </c>
      <c r="E11">
        <v>6.6</v>
      </c>
      <c r="F11">
        <v>1957</v>
      </c>
      <c r="G11">
        <v>75</v>
      </c>
      <c r="H11">
        <v>1301</v>
      </c>
      <c r="I11">
        <v>42</v>
      </c>
      <c r="J11" t="str">
        <f t="shared" si="0"/>
        <v>40+</v>
      </c>
      <c r="K11" t="s">
        <v>13</v>
      </c>
      <c r="L11">
        <v>4</v>
      </c>
      <c r="M11" t="str">
        <f t="shared" si="1"/>
        <v>Yes</v>
      </c>
      <c r="N11" t="str">
        <f>IF(user_behavior_dataset!$D11&lt;60,"Low",
IF(user_behavior_dataset!$D11&lt;=180,"Medium","High"))</f>
        <v>High</v>
      </c>
      <c r="O11" t="str">
        <f>IF(user_behavior_dataset!$H11&gt;=1341,"Yes","No")</f>
        <v>No</v>
      </c>
      <c r="P11" t="str">
        <f>IF(user_behavior_dataset!$F11&gt;=2229,"Yes","No")</f>
        <v>No</v>
      </c>
    </row>
    <row r="12" spans="1:16" x14ac:dyDescent="0.3">
      <c r="A12">
        <v>11</v>
      </c>
      <c r="B12" t="s">
        <v>11</v>
      </c>
      <c r="C12" t="s">
        <v>12</v>
      </c>
      <c r="D12">
        <v>53</v>
      </c>
      <c r="E12">
        <v>1.4</v>
      </c>
      <c r="F12">
        <v>435</v>
      </c>
      <c r="G12">
        <v>17</v>
      </c>
      <c r="H12">
        <v>162</v>
      </c>
      <c r="I12">
        <v>34</v>
      </c>
      <c r="J12" t="str">
        <f t="shared" si="0"/>
        <v>25–40</v>
      </c>
      <c r="K12" t="s">
        <v>15</v>
      </c>
      <c r="L12">
        <v>1</v>
      </c>
      <c r="M12" t="str">
        <f t="shared" si="1"/>
        <v>No</v>
      </c>
      <c r="N12" t="str">
        <f>IF(user_behavior_dataset!$D12&lt;60,"Low",
IF(user_behavior_dataset!$D12&lt;=180,"Medium","High"))</f>
        <v>Low</v>
      </c>
      <c r="O12" t="str">
        <f>IF(user_behavior_dataset!$H12&gt;=1341,"Yes","No")</f>
        <v>No</v>
      </c>
      <c r="P12" t="str">
        <f>IF(user_behavior_dataset!$F12&gt;=2229,"Yes","No")</f>
        <v>No</v>
      </c>
    </row>
    <row r="13" spans="1:16" x14ac:dyDescent="0.3">
      <c r="A13">
        <v>12</v>
      </c>
      <c r="B13" t="s">
        <v>14</v>
      </c>
      <c r="C13" t="s">
        <v>12</v>
      </c>
      <c r="D13">
        <v>215</v>
      </c>
      <c r="E13">
        <v>5.5</v>
      </c>
      <c r="F13">
        <v>1690</v>
      </c>
      <c r="G13">
        <v>47</v>
      </c>
      <c r="H13">
        <v>641</v>
      </c>
      <c r="I13">
        <v>24</v>
      </c>
      <c r="J13" t="str">
        <f t="shared" si="0"/>
        <v>&lt;25</v>
      </c>
      <c r="K13" t="s">
        <v>13</v>
      </c>
      <c r="L13">
        <v>3</v>
      </c>
      <c r="M13" t="str">
        <f t="shared" si="1"/>
        <v>Yes</v>
      </c>
      <c r="N13" t="str">
        <f>IF(user_behavior_dataset!$D13&lt;60,"Low",
IF(user_behavior_dataset!$D13&lt;=180,"Medium","High"))</f>
        <v>High</v>
      </c>
      <c r="O13" t="str">
        <f>IF(user_behavior_dataset!$H13&gt;=1341,"Yes","No")</f>
        <v>No</v>
      </c>
      <c r="P13" t="str">
        <f>IF(user_behavior_dataset!$F13&gt;=2229,"Yes","No")</f>
        <v>No</v>
      </c>
    </row>
    <row r="14" spans="1:16" x14ac:dyDescent="0.3">
      <c r="A14">
        <v>13</v>
      </c>
      <c r="B14" t="s">
        <v>14</v>
      </c>
      <c r="C14" t="s">
        <v>12</v>
      </c>
      <c r="D14">
        <v>462</v>
      </c>
      <c r="E14">
        <v>6.2</v>
      </c>
      <c r="F14">
        <v>2303</v>
      </c>
      <c r="G14">
        <v>65</v>
      </c>
      <c r="H14">
        <v>1099</v>
      </c>
      <c r="I14">
        <v>57</v>
      </c>
      <c r="J14" t="str">
        <f>IF(I14="","Unknown",IF(I14&lt;25,"&lt;25",IF(I14&lt;=40,"25–40","40+")))</f>
        <v>40+</v>
      </c>
      <c r="K14" t="s">
        <v>15</v>
      </c>
      <c r="L14">
        <v>4</v>
      </c>
      <c r="M14" t="str">
        <f t="shared" si="1"/>
        <v>Yes</v>
      </c>
      <c r="N14" t="str">
        <f>IF(user_behavior_dataset!$D14&lt;60,"Low",
IF(user_behavior_dataset!$D14&lt;=180,"Medium","High"))</f>
        <v>High</v>
      </c>
      <c r="O14" t="str">
        <f>IF(user_behavior_dataset!$H14&gt;=1341,"Yes","No")</f>
        <v>No</v>
      </c>
      <c r="P14" t="str">
        <f>IF(user_behavior_dataset!$F14&gt;=2229,"Yes","No")</f>
        <v>Yes</v>
      </c>
    </row>
    <row r="15" spans="1:16" x14ac:dyDescent="0.3">
      <c r="A15">
        <v>14</v>
      </c>
      <c r="B15" t="s">
        <v>16</v>
      </c>
      <c r="C15" t="s">
        <v>12</v>
      </c>
      <c r="D15">
        <v>215</v>
      </c>
      <c r="E15">
        <v>4.9000000000000004</v>
      </c>
      <c r="F15">
        <v>1662</v>
      </c>
      <c r="G15">
        <v>43</v>
      </c>
      <c r="H15">
        <v>857</v>
      </c>
      <c r="I15">
        <v>43</v>
      </c>
      <c r="J15" t="str">
        <f t="shared" si="0"/>
        <v>40+</v>
      </c>
      <c r="K15" t="s">
        <v>13</v>
      </c>
      <c r="L15">
        <v>3</v>
      </c>
      <c r="M15" t="str">
        <f t="shared" si="1"/>
        <v>Yes</v>
      </c>
      <c r="N15" t="str">
        <f>IF(user_behavior_dataset!$D15&lt;60,"Low",
IF(user_behavior_dataset!$D15&lt;=180,"Medium","High"))</f>
        <v>High</v>
      </c>
      <c r="O15" t="str">
        <f>IF(user_behavior_dataset!$H15&gt;=1341,"Yes","No")</f>
        <v>No</v>
      </c>
      <c r="P15" t="str">
        <f>IF(user_behavior_dataset!$F15&gt;=2229,"Yes","No")</f>
        <v>No</v>
      </c>
    </row>
    <row r="16" spans="1:16" x14ac:dyDescent="0.3">
      <c r="A16">
        <v>15</v>
      </c>
      <c r="B16" t="s">
        <v>17</v>
      </c>
      <c r="C16" t="s">
        <v>18</v>
      </c>
      <c r="D16">
        <v>189</v>
      </c>
      <c r="E16">
        <v>5.4</v>
      </c>
      <c r="F16">
        <v>1754</v>
      </c>
      <c r="G16">
        <v>53</v>
      </c>
      <c r="H16">
        <v>779</v>
      </c>
      <c r="I16">
        <v>49</v>
      </c>
      <c r="J16" t="str">
        <f t="shared" si="0"/>
        <v>40+</v>
      </c>
      <c r="K16" t="s">
        <v>15</v>
      </c>
      <c r="L16">
        <v>3</v>
      </c>
      <c r="M16" t="str">
        <f t="shared" si="1"/>
        <v>Yes</v>
      </c>
      <c r="N16" t="str">
        <f>IF(user_behavior_dataset!$D16&lt;60,"Low",
IF(user_behavior_dataset!$D16&lt;=180,"Medium","High"))</f>
        <v>High</v>
      </c>
      <c r="O16" t="str">
        <f>IF(user_behavior_dataset!$H16&gt;=1341,"Yes","No")</f>
        <v>No</v>
      </c>
      <c r="P16" t="str">
        <f>IF(user_behavior_dataset!$F16&gt;=2229,"Yes","No")</f>
        <v>No</v>
      </c>
    </row>
    <row r="17" spans="1:16" x14ac:dyDescent="0.3">
      <c r="A17">
        <v>16</v>
      </c>
      <c r="B17" t="s">
        <v>11</v>
      </c>
      <c r="C17" t="s">
        <v>12</v>
      </c>
      <c r="D17">
        <v>503</v>
      </c>
      <c r="E17">
        <v>10.4</v>
      </c>
      <c r="F17">
        <v>2571</v>
      </c>
      <c r="G17">
        <v>84</v>
      </c>
      <c r="H17">
        <v>2025</v>
      </c>
      <c r="I17">
        <v>39</v>
      </c>
      <c r="J17" t="str">
        <f t="shared" si="0"/>
        <v>25–40</v>
      </c>
      <c r="K17" t="s">
        <v>15</v>
      </c>
      <c r="L17">
        <v>5</v>
      </c>
      <c r="M17" t="str">
        <f t="shared" si="1"/>
        <v>Yes</v>
      </c>
      <c r="N17" t="str">
        <f>IF(user_behavior_dataset!$D17&lt;60,"Low",
IF(user_behavior_dataset!$D17&lt;=180,"Medium","High"))</f>
        <v>High</v>
      </c>
      <c r="O17" t="str">
        <f>IF(user_behavior_dataset!$H17&gt;=1341,"Yes","No")</f>
        <v>Yes</v>
      </c>
      <c r="P17" t="str">
        <f>IF(user_behavior_dataset!$F17&gt;=2229,"Yes","No")</f>
        <v>Yes</v>
      </c>
    </row>
    <row r="18" spans="1:16" x14ac:dyDescent="0.3">
      <c r="A18">
        <v>17</v>
      </c>
      <c r="B18" t="s">
        <v>14</v>
      </c>
      <c r="C18" t="s">
        <v>12</v>
      </c>
      <c r="D18">
        <v>132</v>
      </c>
      <c r="E18">
        <v>3.6</v>
      </c>
      <c r="F18">
        <v>628</v>
      </c>
      <c r="G18">
        <v>32</v>
      </c>
      <c r="H18">
        <v>344</v>
      </c>
      <c r="I18">
        <v>47</v>
      </c>
      <c r="J18" t="str">
        <f t="shared" si="0"/>
        <v>40+</v>
      </c>
      <c r="K18" t="s">
        <v>15</v>
      </c>
      <c r="L18">
        <v>2</v>
      </c>
      <c r="M18" t="str">
        <f t="shared" si="1"/>
        <v>Yes</v>
      </c>
      <c r="N18" t="str">
        <f>IF(user_behavior_dataset!$D18&lt;60,"Low",
IF(user_behavior_dataset!$D18&lt;=180,"Medium","High"))</f>
        <v>Medium</v>
      </c>
      <c r="O18" t="str">
        <f>IF(user_behavior_dataset!$H18&gt;=1341,"Yes","No")</f>
        <v>No</v>
      </c>
      <c r="P18" t="str">
        <f>IF(user_behavior_dataset!$F18&gt;=2229,"Yes","No")</f>
        <v>No</v>
      </c>
    </row>
    <row r="19" spans="1:16" x14ac:dyDescent="0.3">
      <c r="A19">
        <v>18</v>
      </c>
      <c r="B19" t="s">
        <v>17</v>
      </c>
      <c r="C19" t="s">
        <v>18</v>
      </c>
      <c r="D19">
        <v>299</v>
      </c>
      <c r="E19">
        <v>5.8</v>
      </c>
      <c r="F19">
        <v>1431</v>
      </c>
      <c r="G19">
        <v>41</v>
      </c>
      <c r="H19">
        <v>985</v>
      </c>
      <c r="I19">
        <v>44</v>
      </c>
      <c r="J19" t="str">
        <f t="shared" si="0"/>
        <v>40+</v>
      </c>
      <c r="K19" t="s">
        <v>15</v>
      </c>
      <c r="L19">
        <v>3</v>
      </c>
      <c r="M19" t="str">
        <f t="shared" si="1"/>
        <v>Yes</v>
      </c>
      <c r="N19" t="str">
        <f>IF(user_behavior_dataset!$D19&lt;60,"Low",
IF(user_behavior_dataset!$D19&lt;=180,"Medium","High"))</f>
        <v>High</v>
      </c>
      <c r="O19" t="str">
        <f>IF(user_behavior_dataset!$H19&gt;=1341,"Yes","No")</f>
        <v>No</v>
      </c>
      <c r="P19" t="str">
        <f>IF(user_behavior_dataset!$F19&gt;=2229,"Yes","No")</f>
        <v>No</v>
      </c>
    </row>
    <row r="20" spans="1:16" x14ac:dyDescent="0.3">
      <c r="A20">
        <v>19</v>
      </c>
      <c r="B20" t="s">
        <v>11</v>
      </c>
      <c r="C20" t="s">
        <v>12</v>
      </c>
      <c r="D20">
        <v>81</v>
      </c>
      <c r="E20">
        <v>1.4</v>
      </c>
      <c r="F20">
        <v>558</v>
      </c>
      <c r="G20">
        <v>16</v>
      </c>
      <c r="H20">
        <v>297</v>
      </c>
      <c r="I20">
        <v>26</v>
      </c>
      <c r="J20" t="str">
        <f t="shared" si="0"/>
        <v>25–40</v>
      </c>
      <c r="K20" t="s">
        <v>15</v>
      </c>
      <c r="L20">
        <v>1</v>
      </c>
      <c r="M20" t="str">
        <f t="shared" si="1"/>
        <v>Yes</v>
      </c>
      <c r="N20" t="str">
        <f>IF(user_behavior_dataset!$D20&lt;60,"Low",
IF(user_behavior_dataset!$D20&lt;=180,"Medium","High"))</f>
        <v>Medium</v>
      </c>
      <c r="O20" t="str">
        <f>IF(user_behavior_dataset!$H20&gt;=1341,"Yes","No")</f>
        <v>No</v>
      </c>
      <c r="P20" t="str">
        <f>IF(user_behavior_dataset!$F20&gt;=2229,"Yes","No")</f>
        <v>No</v>
      </c>
    </row>
    <row r="21" spans="1:16" x14ac:dyDescent="0.3">
      <c r="A21">
        <v>20</v>
      </c>
      <c r="B21" t="s">
        <v>17</v>
      </c>
      <c r="C21" t="s">
        <v>18</v>
      </c>
      <c r="D21">
        <v>577</v>
      </c>
      <c r="E21">
        <v>8.5</v>
      </c>
      <c r="F21">
        <v>2774</v>
      </c>
      <c r="G21">
        <v>89</v>
      </c>
      <c r="H21">
        <v>2192</v>
      </c>
      <c r="I21">
        <v>29</v>
      </c>
      <c r="J21" t="str">
        <f t="shared" si="0"/>
        <v>25–40</v>
      </c>
      <c r="K21" t="s">
        <v>15</v>
      </c>
      <c r="L21">
        <v>5</v>
      </c>
      <c r="M21" t="str">
        <f t="shared" si="1"/>
        <v>Yes</v>
      </c>
      <c r="N21" t="str">
        <f>IF(user_behavior_dataset!$D21&lt;60,"Low",
IF(user_behavior_dataset!$D21&lt;=180,"Medium","High"))</f>
        <v>High</v>
      </c>
      <c r="O21" t="str">
        <f>IF(user_behavior_dataset!$H21&gt;=1341,"Yes","No")</f>
        <v>Yes</v>
      </c>
      <c r="P21" t="str">
        <f>IF(user_behavior_dataset!$F21&gt;=2229,"Yes","No")</f>
        <v>Yes</v>
      </c>
    </row>
    <row r="22" spans="1:16" x14ac:dyDescent="0.3">
      <c r="A22">
        <v>21</v>
      </c>
      <c r="B22" t="s">
        <v>19</v>
      </c>
      <c r="C22" t="s">
        <v>12</v>
      </c>
      <c r="D22">
        <v>93</v>
      </c>
      <c r="E22">
        <v>2.6</v>
      </c>
      <c r="F22">
        <v>681</v>
      </c>
      <c r="G22">
        <v>37</v>
      </c>
      <c r="H22">
        <v>302</v>
      </c>
      <c r="I22">
        <v>45</v>
      </c>
      <c r="J22" t="str">
        <f t="shared" si="0"/>
        <v>40+</v>
      </c>
      <c r="K22" t="s">
        <v>15</v>
      </c>
      <c r="L22">
        <v>2</v>
      </c>
      <c r="M22" t="str">
        <f t="shared" si="1"/>
        <v>Yes</v>
      </c>
      <c r="N22" t="str">
        <f>IF(user_behavior_dataset!$D22&lt;60,"Low",
IF(user_behavior_dataset!$D22&lt;=180,"Medium","High"))</f>
        <v>Medium</v>
      </c>
      <c r="O22" t="str">
        <f>IF(user_behavior_dataset!$H22&gt;=1341,"Yes","No")</f>
        <v>No</v>
      </c>
      <c r="P22" t="str">
        <f>IF(user_behavior_dataset!$F22&gt;=2229,"Yes","No")</f>
        <v>No</v>
      </c>
    </row>
    <row r="23" spans="1:16" x14ac:dyDescent="0.3">
      <c r="A23">
        <v>22</v>
      </c>
      <c r="B23" t="s">
        <v>14</v>
      </c>
      <c r="C23" t="s">
        <v>12</v>
      </c>
      <c r="D23">
        <v>576</v>
      </c>
      <c r="E23">
        <v>11.6</v>
      </c>
      <c r="F23">
        <v>2803</v>
      </c>
      <c r="G23">
        <v>82</v>
      </c>
      <c r="H23">
        <v>1553</v>
      </c>
      <c r="I23">
        <v>43</v>
      </c>
      <c r="J23" t="str">
        <f t="shared" si="0"/>
        <v>40+</v>
      </c>
      <c r="K23" t="s">
        <v>15</v>
      </c>
      <c r="L23">
        <v>5</v>
      </c>
      <c r="M23" t="str">
        <f t="shared" si="1"/>
        <v>Yes</v>
      </c>
      <c r="N23" t="str">
        <f>IF(user_behavior_dataset!$D23&lt;60,"Low",
IF(user_behavior_dataset!$D23&lt;=180,"Medium","High"))</f>
        <v>High</v>
      </c>
      <c r="O23" t="str">
        <f>IF(user_behavior_dataset!$H23&gt;=1341,"Yes","No")</f>
        <v>Yes</v>
      </c>
      <c r="P23" t="str">
        <f>IF(user_behavior_dataset!$F23&gt;=2229,"Yes","No")</f>
        <v>Yes</v>
      </c>
    </row>
    <row r="24" spans="1:16" x14ac:dyDescent="0.3">
      <c r="A24">
        <v>23</v>
      </c>
      <c r="B24" t="s">
        <v>19</v>
      </c>
      <c r="C24" t="s">
        <v>12</v>
      </c>
      <c r="D24">
        <v>423</v>
      </c>
      <c r="E24">
        <v>6.5</v>
      </c>
      <c r="F24">
        <v>2094</v>
      </c>
      <c r="G24">
        <v>65</v>
      </c>
      <c r="H24">
        <v>1372</v>
      </c>
      <c r="I24">
        <v>23</v>
      </c>
      <c r="J24" t="str">
        <f t="shared" si="0"/>
        <v>&lt;25</v>
      </c>
      <c r="K24" t="s">
        <v>15</v>
      </c>
      <c r="L24">
        <v>4</v>
      </c>
      <c r="M24" t="str">
        <f t="shared" si="1"/>
        <v>Yes</v>
      </c>
      <c r="N24" t="str">
        <f>IF(user_behavior_dataset!$D24&lt;60,"Low",
IF(user_behavior_dataset!$D24&lt;=180,"Medium","High"))</f>
        <v>High</v>
      </c>
      <c r="O24" t="str">
        <f>IF(user_behavior_dataset!$H24&gt;=1341,"Yes","No")</f>
        <v>Yes</v>
      </c>
      <c r="P24" t="str">
        <f>IF(user_behavior_dataset!$F24&gt;=2229,"Yes","No")</f>
        <v>No</v>
      </c>
    </row>
    <row r="25" spans="1:16" x14ac:dyDescent="0.3">
      <c r="A25">
        <v>24</v>
      </c>
      <c r="B25" t="s">
        <v>11</v>
      </c>
      <c r="C25" t="s">
        <v>12</v>
      </c>
      <c r="D25">
        <v>292</v>
      </c>
      <c r="E25">
        <v>5.6</v>
      </c>
      <c r="F25">
        <v>1401</v>
      </c>
      <c r="G25">
        <v>46</v>
      </c>
      <c r="H25">
        <v>949</v>
      </c>
      <c r="I25">
        <v>37</v>
      </c>
      <c r="J25" t="str">
        <f t="shared" si="0"/>
        <v>25–40</v>
      </c>
      <c r="K25" t="s">
        <v>15</v>
      </c>
      <c r="L25">
        <v>3</v>
      </c>
      <c r="M25" t="str">
        <f t="shared" si="1"/>
        <v>Yes</v>
      </c>
      <c r="N25" t="str">
        <f>IF(user_behavior_dataset!$D25&lt;60,"Low",
IF(user_behavior_dataset!$D25&lt;=180,"Medium","High"))</f>
        <v>High</v>
      </c>
      <c r="O25" t="str">
        <f>IF(user_behavior_dataset!$H25&gt;=1341,"Yes","No")</f>
        <v>No</v>
      </c>
      <c r="P25" t="str">
        <f>IF(user_behavior_dataset!$F25&gt;=2229,"Yes","No")</f>
        <v>No</v>
      </c>
    </row>
    <row r="26" spans="1:16" x14ac:dyDescent="0.3">
      <c r="A26">
        <v>25</v>
      </c>
      <c r="B26" t="s">
        <v>14</v>
      </c>
      <c r="C26" t="s">
        <v>12</v>
      </c>
      <c r="D26">
        <v>216</v>
      </c>
      <c r="E26">
        <v>4</v>
      </c>
      <c r="F26">
        <v>1711</v>
      </c>
      <c r="G26">
        <v>59</v>
      </c>
      <c r="H26">
        <v>748</v>
      </c>
      <c r="I26">
        <v>58</v>
      </c>
      <c r="J26" t="str">
        <f t="shared" si="0"/>
        <v>40+</v>
      </c>
      <c r="K26" t="s">
        <v>13</v>
      </c>
      <c r="L26">
        <v>3</v>
      </c>
      <c r="M26" t="str">
        <f t="shared" si="1"/>
        <v>Yes</v>
      </c>
      <c r="N26" t="str">
        <f>IF(user_behavior_dataset!$D26&lt;60,"Low",
IF(user_behavior_dataset!$D26&lt;=180,"Medium","High"))</f>
        <v>High</v>
      </c>
      <c r="O26" t="str">
        <f>IF(user_behavior_dataset!$H26&gt;=1341,"Yes","No")</f>
        <v>No</v>
      </c>
      <c r="P26" t="str">
        <f>IF(user_behavior_dataset!$F26&gt;=2229,"Yes","No")</f>
        <v>No</v>
      </c>
    </row>
    <row r="27" spans="1:16" x14ac:dyDescent="0.3">
      <c r="A27">
        <v>26</v>
      </c>
      <c r="B27" t="s">
        <v>19</v>
      </c>
      <c r="C27" t="s">
        <v>12</v>
      </c>
      <c r="D27">
        <v>91</v>
      </c>
      <c r="E27">
        <v>3.4</v>
      </c>
      <c r="F27">
        <v>1073</v>
      </c>
      <c r="G27">
        <v>38</v>
      </c>
      <c r="H27">
        <v>451</v>
      </c>
      <c r="I27">
        <v>52</v>
      </c>
      <c r="J27" t="str">
        <f t="shared" si="0"/>
        <v>40+</v>
      </c>
      <c r="K27" t="s">
        <v>13</v>
      </c>
      <c r="L27">
        <v>2</v>
      </c>
      <c r="M27" t="str">
        <f t="shared" si="1"/>
        <v>Yes</v>
      </c>
      <c r="N27" t="str">
        <f>IF(user_behavior_dataset!$D27&lt;60,"Low",
IF(user_behavior_dataset!$D27&lt;=180,"Medium","High"))</f>
        <v>Medium</v>
      </c>
      <c r="O27" t="str">
        <f>IF(user_behavior_dataset!$H27&gt;=1341,"Yes","No")</f>
        <v>No</v>
      </c>
      <c r="P27" t="str">
        <f>IF(user_behavior_dataset!$F27&gt;=2229,"Yes","No")</f>
        <v>No</v>
      </c>
    </row>
    <row r="28" spans="1:16" x14ac:dyDescent="0.3">
      <c r="A28">
        <v>27</v>
      </c>
      <c r="B28" t="s">
        <v>17</v>
      </c>
      <c r="C28" t="s">
        <v>18</v>
      </c>
      <c r="D28">
        <v>444</v>
      </c>
      <c r="E28">
        <v>7.6</v>
      </c>
      <c r="F28">
        <v>2372</v>
      </c>
      <c r="G28">
        <v>77</v>
      </c>
      <c r="H28">
        <v>1002</v>
      </c>
      <c r="I28">
        <v>29</v>
      </c>
      <c r="J28" t="str">
        <f t="shared" si="0"/>
        <v>25–40</v>
      </c>
      <c r="K28" t="s">
        <v>13</v>
      </c>
      <c r="L28">
        <v>4</v>
      </c>
      <c r="M28" t="str">
        <f t="shared" si="1"/>
        <v>Yes</v>
      </c>
      <c r="N28" t="str">
        <f>IF(user_behavior_dataset!$D28&lt;60,"Low",
IF(user_behavior_dataset!$D28&lt;=180,"Medium","High"))</f>
        <v>High</v>
      </c>
      <c r="O28" t="str">
        <f>IF(user_behavior_dataset!$H28&gt;=1341,"Yes","No")</f>
        <v>No</v>
      </c>
      <c r="P28" t="str">
        <f>IF(user_behavior_dataset!$F28&gt;=2229,"Yes","No")</f>
        <v>Yes</v>
      </c>
    </row>
    <row r="29" spans="1:16" x14ac:dyDescent="0.3">
      <c r="A29">
        <v>28</v>
      </c>
      <c r="B29" t="s">
        <v>11</v>
      </c>
      <c r="C29" t="s">
        <v>12</v>
      </c>
      <c r="D29">
        <v>512</v>
      </c>
      <c r="E29">
        <v>10.5</v>
      </c>
      <c r="F29">
        <v>2409</v>
      </c>
      <c r="G29">
        <v>89</v>
      </c>
      <c r="H29">
        <v>1599</v>
      </c>
      <c r="I29">
        <v>33</v>
      </c>
      <c r="J29" t="str">
        <f t="shared" si="0"/>
        <v>25–40</v>
      </c>
      <c r="K29" t="s">
        <v>13</v>
      </c>
      <c r="L29">
        <v>5</v>
      </c>
      <c r="M29" t="str">
        <f t="shared" si="1"/>
        <v>Yes</v>
      </c>
      <c r="N29" t="str">
        <f>IF(user_behavior_dataset!$D29&lt;60,"Low",
IF(user_behavior_dataset!$D29&lt;=180,"Medium","High"))</f>
        <v>High</v>
      </c>
      <c r="O29" t="str">
        <f>IF(user_behavior_dataset!$H29&gt;=1341,"Yes","No")</f>
        <v>Yes</v>
      </c>
      <c r="P29" t="str">
        <f>IF(user_behavior_dataset!$F29&gt;=2229,"Yes","No")</f>
        <v>Yes</v>
      </c>
    </row>
    <row r="30" spans="1:16" x14ac:dyDescent="0.3">
      <c r="A30">
        <v>29</v>
      </c>
      <c r="B30" t="s">
        <v>14</v>
      </c>
      <c r="C30" t="s">
        <v>12</v>
      </c>
      <c r="D30">
        <v>452</v>
      </c>
      <c r="E30">
        <v>6.8</v>
      </c>
      <c r="F30">
        <v>2387</v>
      </c>
      <c r="G30">
        <v>77</v>
      </c>
      <c r="H30">
        <v>1456</v>
      </c>
      <c r="I30">
        <v>55</v>
      </c>
      <c r="J30" t="str">
        <f t="shared" si="0"/>
        <v>40+</v>
      </c>
      <c r="K30" t="s">
        <v>15</v>
      </c>
      <c r="L30">
        <v>4</v>
      </c>
      <c r="M30" t="str">
        <f t="shared" si="1"/>
        <v>Yes</v>
      </c>
      <c r="N30" t="str">
        <f>IF(user_behavior_dataset!$D30&lt;60,"Low",
IF(user_behavior_dataset!$D30&lt;=180,"Medium","High"))</f>
        <v>High</v>
      </c>
      <c r="O30" t="str">
        <f>IF(user_behavior_dataset!$H30&gt;=1341,"Yes","No")</f>
        <v>Yes</v>
      </c>
      <c r="P30" t="str">
        <f>IF(user_behavior_dataset!$F30&gt;=2229,"Yes","No")</f>
        <v>Yes</v>
      </c>
    </row>
    <row r="31" spans="1:16" x14ac:dyDescent="0.3">
      <c r="A31">
        <v>30</v>
      </c>
      <c r="B31" t="s">
        <v>19</v>
      </c>
      <c r="C31" t="s">
        <v>12</v>
      </c>
      <c r="D31">
        <v>412</v>
      </c>
      <c r="E31">
        <v>6.2</v>
      </c>
      <c r="F31">
        <v>1899</v>
      </c>
      <c r="G31">
        <v>78</v>
      </c>
      <c r="H31">
        <v>1384</v>
      </c>
      <c r="I31">
        <v>19</v>
      </c>
      <c r="J31" t="str">
        <f t="shared" si="0"/>
        <v>&lt;25</v>
      </c>
      <c r="K31" t="s">
        <v>15</v>
      </c>
      <c r="L31">
        <v>4</v>
      </c>
      <c r="M31" t="str">
        <f t="shared" si="1"/>
        <v>Yes</v>
      </c>
      <c r="N31" t="str">
        <f>IF(user_behavior_dataset!$D31&lt;60,"Low",
IF(user_behavior_dataset!$D31&lt;=180,"Medium","High"))</f>
        <v>High</v>
      </c>
      <c r="O31" t="str">
        <f>IF(user_behavior_dataset!$H31&gt;=1341,"Yes","No")</f>
        <v>Yes</v>
      </c>
      <c r="P31" t="str">
        <f>IF(user_behavior_dataset!$F31&gt;=2229,"Yes","No")</f>
        <v>No</v>
      </c>
    </row>
    <row r="32" spans="1:16" x14ac:dyDescent="0.3">
      <c r="A32">
        <v>31</v>
      </c>
      <c r="B32" t="s">
        <v>16</v>
      </c>
      <c r="C32" t="s">
        <v>12</v>
      </c>
      <c r="D32">
        <v>260</v>
      </c>
      <c r="E32">
        <v>6</v>
      </c>
      <c r="F32">
        <v>1361</v>
      </c>
      <c r="G32">
        <v>44</v>
      </c>
      <c r="H32">
        <v>889</v>
      </c>
      <c r="I32">
        <v>37</v>
      </c>
      <c r="J32" t="str">
        <f t="shared" si="0"/>
        <v>25–40</v>
      </c>
      <c r="K32" t="s">
        <v>15</v>
      </c>
      <c r="L32">
        <v>3</v>
      </c>
      <c r="M32" t="str">
        <f t="shared" si="1"/>
        <v>Yes</v>
      </c>
      <c r="N32" t="str">
        <f>IF(user_behavior_dataset!$D32&lt;60,"Low",
IF(user_behavior_dataset!$D32&lt;=180,"Medium","High"))</f>
        <v>High</v>
      </c>
      <c r="O32" t="str">
        <f>IF(user_behavior_dataset!$H32&gt;=1341,"Yes","No")</f>
        <v>No</v>
      </c>
      <c r="P32" t="str">
        <f>IF(user_behavior_dataset!$F32&gt;=2229,"Yes","No")</f>
        <v>No</v>
      </c>
    </row>
    <row r="33" spans="1:16" x14ac:dyDescent="0.3">
      <c r="A33">
        <v>32</v>
      </c>
      <c r="B33" t="s">
        <v>16</v>
      </c>
      <c r="C33" t="s">
        <v>12</v>
      </c>
      <c r="D33">
        <v>197</v>
      </c>
      <c r="E33">
        <v>4.5999999999999996</v>
      </c>
      <c r="F33">
        <v>1660</v>
      </c>
      <c r="G33">
        <v>59</v>
      </c>
      <c r="H33">
        <v>975</v>
      </c>
      <c r="I33">
        <v>25</v>
      </c>
      <c r="J33" t="str">
        <f t="shared" si="0"/>
        <v>25–40</v>
      </c>
      <c r="K33" t="s">
        <v>13</v>
      </c>
      <c r="L33">
        <v>3</v>
      </c>
      <c r="M33" t="str">
        <f t="shared" si="1"/>
        <v>Yes</v>
      </c>
      <c r="N33" t="str">
        <f>IF(user_behavior_dataset!$D33&lt;60,"Low",
IF(user_behavior_dataset!$D33&lt;=180,"Medium","High"))</f>
        <v>High</v>
      </c>
      <c r="O33" t="str">
        <f>IF(user_behavior_dataset!$H33&gt;=1341,"Yes","No")</f>
        <v>No</v>
      </c>
      <c r="P33" t="str">
        <f>IF(user_behavior_dataset!$F33&gt;=2229,"Yes","No")</f>
        <v>No</v>
      </c>
    </row>
    <row r="34" spans="1:16" x14ac:dyDescent="0.3">
      <c r="A34">
        <v>33</v>
      </c>
      <c r="B34" t="s">
        <v>11</v>
      </c>
      <c r="C34" t="s">
        <v>12</v>
      </c>
      <c r="D34">
        <v>278</v>
      </c>
      <c r="E34">
        <v>4.7</v>
      </c>
      <c r="F34">
        <v>1484</v>
      </c>
      <c r="G34">
        <v>55</v>
      </c>
      <c r="H34">
        <v>917</v>
      </c>
      <c r="I34">
        <v>21</v>
      </c>
      <c r="J34" t="str">
        <f t="shared" si="0"/>
        <v>&lt;25</v>
      </c>
      <c r="K34" t="s">
        <v>13</v>
      </c>
      <c r="L34">
        <v>3</v>
      </c>
      <c r="M34" t="str">
        <f t="shared" si="1"/>
        <v>Yes</v>
      </c>
      <c r="N34" t="str">
        <f>IF(user_behavior_dataset!$D34&lt;60,"Low",
IF(user_behavior_dataset!$D34&lt;=180,"Medium","High"))</f>
        <v>High</v>
      </c>
      <c r="O34" t="str">
        <f>IF(user_behavior_dataset!$H34&gt;=1341,"Yes","No")</f>
        <v>No</v>
      </c>
      <c r="P34" t="str">
        <f>IF(user_behavior_dataset!$F34&gt;=2229,"Yes","No")</f>
        <v>No</v>
      </c>
    </row>
    <row r="35" spans="1:16" x14ac:dyDescent="0.3">
      <c r="A35">
        <v>34</v>
      </c>
      <c r="B35" t="s">
        <v>11</v>
      </c>
      <c r="C35" t="s">
        <v>12</v>
      </c>
      <c r="D35">
        <v>46</v>
      </c>
      <c r="E35">
        <v>2</v>
      </c>
      <c r="F35">
        <v>457</v>
      </c>
      <c r="G35">
        <v>14</v>
      </c>
      <c r="H35">
        <v>105</v>
      </c>
      <c r="I35">
        <v>58</v>
      </c>
      <c r="J35" t="str">
        <f t="shared" si="0"/>
        <v>40+</v>
      </c>
      <c r="K35" t="s">
        <v>13</v>
      </c>
      <c r="L35">
        <v>1</v>
      </c>
      <c r="M35" t="str">
        <f t="shared" si="1"/>
        <v>No</v>
      </c>
      <c r="N35" t="str">
        <f>IF(user_behavior_dataset!$D35&lt;60,"Low",
IF(user_behavior_dataset!$D35&lt;=180,"Medium","High"))</f>
        <v>Low</v>
      </c>
      <c r="O35" t="str">
        <f>IF(user_behavior_dataset!$H35&gt;=1341,"Yes","No")</f>
        <v>No</v>
      </c>
      <c r="P35" t="str">
        <f>IF(user_behavior_dataset!$F35&gt;=2229,"Yes","No")</f>
        <v>No</v>
      </c>
    </row>
    <row r="36" spans="1:16" x14ac:dyDescent="0.3">
      <c r="A36">
        <v>35</v>
      </c>
      <c r="B36" t="s">
        <v>16</v>
      </c>
      <c r="C36" t="s">
        <v>12</v>
      </c>
      <c r="D36">
        <v>593</v>
      </c>
      <c r="E36">
        <v>10.199999999999999</v>
      </c>
      <c r="F36">
        <v>2499</v>
      </c>
      <c r="G36">
        <v>81</v>
      </c>
      <c r="H36">
        <v>1616</v>
      </c>
      <c r="I36">
        <v>38</v>
      </c>
      <c r="J36" t="str">
        <f t="shared" si="0"/>
        <v>25–40</v>
      </c>
      <c r="K36" t="s">
        <v>15</v>
      </c>
      <c r="L36">
        <v>5</v>
      </c>
      <c r="M36" t="str">
        <f t="shared" si="1"/>
        <v>Yes</v>
      </c>
      <c r="N36" t="str">
        <f>IF(user_behavior_dataset!$D36&lt;60,"Low",
IF(user_behavior_dataset!$D36&lt;=180,"Medium","High"))</f>
        <v>High</v>
      </c>
      <c r="O36" t="str">
        <f>IF(user_behavior_dataset!$H36&gt;=1341,"Yes","No")</f>
        <v>Yes</v>
      </c>
      <c r="P36" t="str">
        <f>IF(user_behavior_dataset!$F36&gt;=2229,"Yes","No")</f>
        <v>Yes</v>
      </c>
    </row>
    <row r="37" spans="1:16" x14ac:dyDescent="0.3">
      <c r="A37">
        <v>36</v>
      </c>
      <c r="B37" t="s">
        <v>19</v>
      </c>
      <c r="C37" t="s">
        <v>12</v>
      </c>
      <c r="D37">
        <v>32</v>
      </c>
      <c r="E37">
        <v>1.2</v>
      </c>
      <c r="F37">
        <v>580</v>
      </c>
      <c r="G37">
        <v>19</v>
      </c>
      <c r="H37">
        <v>153</v>
      </c>
      <c r="I37">
        <v>20</v>
      </c>
      <c r="J37" t="str">
        <f t="shared" si="0"/>
        <v>&lt;25</v>
      </c>
      <c r="K37" t="s">
        <v>15</v>
      </c>
      <c r="L37">
        <v>1</v>
      </c>
      <c r="M37" t="str">
        <f t="shared" si="1"/>
        <v>No</v>
      </c>
      <c r="N37" t="str">
        <f>IF(user_behavior_dataset!$D37&lt;60,"Low",
IF(user_behavior_dataset!$D37&lt;=180,"Medium","High"))</f>
        <v>Low</v>
      </c>
      <c r="O37" t="str">
        <f>IF(user_behavior_dataset!$H37&gt;=1341,"Yes","No")</f>
        <v>No</v>
      </c>
      <c r="P37" t="str">
        <f>IF(user_behavior_dataset!$F37&gt;=2229,"Yes","No")</f>
        <v>No</v>
      </c>
    </row>
    <row r="38" spans="1:16" x14ac:dyDescent="0.3">
      <c r="A38">
        <v>37</v>
      </c>
      <c r="B38" t="s">
        <v>17</v>
      </c>
      <c r="C38" t="s">
        <v>18</v>
      </c>
      <c r="D38">
        <v>122</v>
      </c>
      <c r="E38">
        <v>3.3</v>
      </c>
      <c r="F38">
        <v>755</v>
      </c>
      <c r="G38">
        <v>30</v>
      </c>
      <c r="H38">
        <v>573</v>
      </c>
      <c r="I38">
        <v>26</v>
      </c>
      <c r="J38" t="str">
        <f t="shared" si="0"/>
        <v>25–40</v>
      </c>
      <c r="K38" t="s">
        <v>13</v>
      </c>
      <c r="L38">
        <v>2</v>
      </c>
      <c r="M38" t="str">
        <f t="shared" si="1"/>
        <v>Yes</v>
      </c>
      <c r="N38" t="str">
        <f>IF(user_behavior_dataset!$D38&lt;60,"Low",
IF(user_behavior_dataset!$D38&lt;=180,"Medium","High"))</f>
        <v>Medium</v>
      </c>
      <c r="O38" t="str">
        <f>IF(user_behavior_dataset!$H38&gt;=1341,"Yes","No")</f>
        <v>No</v>
      </c>
      <c r="P38" t="str">
        <f>IF(user_behavior_dataset!$F38&gt;=2229,"Yes","No")</f>
        <v>No</v>
      </c>
    </row>
    <row r="39" spans="1:16" x14ac:dyDescent="0.3">
      <c r="A39">
        <v>38</v>
      </c>
      <c r="B39" t="s">
        <v>19</v>
      </c>
      <c r="C39" t="s">
        <v>12</v>
      </c>
      <c r="D39">
        <v>522</v>
      </c>
      <c r="E39">
        <v>11.2</v>
      </c>
      <c r="F39">
        <v>2808</v>
      </c>
      <c r="G39">
        <v>93</v>
      </c>
      <c r="H39">
        <v>2328</v>
      </c>
      <c r="I39">
        <v>24</v>
      </c>
      <c r="J39" t="str">
        <f t="shared" si="0"/>
        <v>&lt;25</v>
      </c>
      <c r="K39" t="s">
        <v>13</v>
      </c>
      <c r="L39">
        <v>5</v>
      </c>
      <c r="M39" t="str">
        <f t="shared" si="1"/>
        <v>Yes</v>
      </c>
      <c r="N39" t="str">
        <f>IF(user_behavior_dataset!$D39&lt;60,"Low",
IF(user_behavior_dataset!$D39&lt;=180,"Medium","High"))</f>
        <v>High</v>
      </c>
      <c r="O39" t="str">
        <f>IF(user_behavior_dataset!$H39&gt;=1341,"Yes","No")</f>
        <v>Yes</v>
      </c>
      <c r="P39" t="str">
        <f>IF(user_behavior_dataset!$F39&gt;=2229,"Yes","No")</f>
        <v>Yes</v>
      </c>
    </row>
    <row r="40" spans="1:16" x14ac:dyDescent="0.3">
      <c r="A40">
        <v>39</v>
      </c>
      <c r="B40" t="s">
        <v>14</v>
      </c>
      <c r="C40" t="s">
        <v>12</v>
      </c>
      <c r="D40">
        <v>473</v>
      </c>
      <c r="E40">
        <v>6.4</v>
      </c>
      <c r="F40">
        <v>2312</v>
      </c>
      <c r="G40">
        <v>74</v>
      </c>
      <c r="H40">
        <v>1400</v>
      </c>
      <c r="I40">
        <v>40</v>
      </c>
      <c r="J40" t="str">
        <f t="shared" si="0"/>
        <v>25–40</v>
      </c>
      <c r="K40" t="s">
        <v>13</v>
      </c>
      <c r="L40">
        <v>4</v>
      </c>
      <c r="M40" t="str">
        <f t="shared" si="1"/>
        <v>Yes</v>
      </c>
      <c r="N40" t="str">
        <f>IF(user_behavior_dataset!$D40&lt;60,"Low",
IF(user_behavior_dataset!$D40&lt;=180,"Medium","High"))</f>
        <v>High</v>
      </c>
      <c r="O40" t="str">
        <f>IF(user_behavior_dataset!$H40&gt;=1341,"Yes","No")</f>
        <v>Yes</v>
      </c>
      <c r="P40" t="str">
        <f>IF(user_behavior_dataset!$F40&gt;=2229,"Yes","No")</f>
        <v>Yes</v>
      </c>
    </row>
    <row r="41" spans="1:16" x14ac:dyDescent="0.3">
      <c r="A41">
        <v>40</v>
      </c>
      <c r="B41" t="s">
        <v>19</v>
      </c>
      <c r="C41" t="s">
        <v>12</v>
      </c>
      <c r="D41">
        <v>398</v>
      </c>
      <c r="E41">
        <v>6.2</v>
      </c>
      <c r="F41">
        <v>1851</v>
      </c>
      <c r="G41">
        <v>77</v>
      </c>
      <c r="H41">
        <v>1180</v>
      </c>
      <c r="I41">
        <v>23</v>
      </c>
      <c r="J41" t="str">
        <f t="shared" si="0"/>
        <v>&lt;25</v>
      </c>
      <c r="K41" t="s">
        <v>13</v>
      </c>
      <c r="L41">
        <v>4</v>
      </c>
      <c r="M41" t="str">
        <f t="shared" si="1"/>
        <v>Yes</v>
      </c>
      <c r="N41" t="str">
        <f>IF(user_behavior_dataset!$D41&lt;60,"Low",
IF(user_behavior_dataset!$D41&lt;=180,"Medium","High"))</f>
        <v>High</v>
      </c>
      <c r="O41" t="str">
        <f>IF(user_behavior_dataset!$H41&gt;=1341,"Yes","No")</f>
        <v>No</v>
      </c>
      <c r="P41" t="str">
        <f>IF(user_behavior_dataset!$F41&gt;=2229,"Yes","No")</f>
        <v>No</v>
      </c>
    </row>
    <row r="42" spans="1:16" x14ac:dyDescent="0.3">
      <c r="A42">
        <v>41</v>
      </c>
      <c r="B42" t="s">
        <v>16</v>
      </c>
      <c r="C42" t="s">
        <v>12</v>
      </c>
      <c r="D42">
        <v>240</v>
      </c>
      <c r="E42">
        <v>4.7</v>
      </c>
      <c r="F42">
        <v>1464</v>
      </c>
      <c r="G42">
        <v>52</v>
      </c>
      <c r="H42">
        <v>708</v>
      </c>
      <c r="I42">
        <v>56</v>
      </c>
      <c r="J42" t="str">
        <f t="shared" si="0"/>
        <v>40+</v>
      </c>
      <c r="K42" t="s">
        <v>15</v>
      </c>
      <c r="L42">
        <v>3</v>
      </c>
      <c r="M42" t="str">
        <f t="shared" si="1"/>
        <v>Yes</v>
      </c>
      <c r="N42" t="str">
        <f>IF(user_behavior_dataset!$D42&lt;60,"Low",
IF(user_behavior_dataset!$D42&lt;=180,"Medium","High"))</f>
        <v>High</v>
      </c>
      <c r="O42" t="str">
        <f>IF(user_behavior_dataset!$H42&gt;=1341,"Yes","No")</f>
        <v>No</v>
      </c>
      <c r="P42" t="str">
        <f>IF(user_behavior_dataset!$F42&gt;=2229,"Yes","No")</f>
        <v>No</v>
      </c>
    </row>
    <row r="43" spans="1:16" x14ac:dyDescent="0.3">
      <c r="A43">
        <v>42</v>
      </c>
      <c r="B43" t="s">
        <v>14</v>
      </c>
      <c r="C43" t="s">
        <v>12</v>
      </c>
      <c r="D43">
        <v>576</v>
      </c>
      <c r="E43">
        <v>10.1</v>
      </c>
      <c r="F43">
        <v>2447</v>
      </c>
      <c r="G43">
        <v>83</v>
      </c>
      <c r="H43">
        <v>2323</v>
      </c>
      <c r="I43">
        <v>33</v>
      </c>
      <c r="J43" t="str">
        <f t="shared" si="0"/>
        <v>25–40</v>
      </c>
      <c r="K43" t="s">
        <v>13</v>
      </c>
      <c r="L43">
        <v>5</v>
      </c>
      <c r="M43" t="str">
        <f t="shared" si="1"/>
        <v>Yes</v>
      </c>
      <c r="N43" t="str">
        <f>IF(user_behavior_dataset!$D43&lt;60,"Low",
IF(user_behavior_dataset!$D43&lt;=180,"Medium","High"))</f>
        <v>High</v>
      </c>
      <c r="O43" t="str">
        <f>IF(user_behavior_dataset!$H43&gt;=1341,"Yes","No")</f>
        <v>Yes</v>
      </c>
      <c r="P43" t="str">
        <f>IF(user_behavior_dataset!$F43&gt;=2229,"Yes","No")</f>
        <v>Yes</v>
      </c>
    </row>
    <row r="44" spans="1:16" x14ac:dyDescent="0.3">
      <c r="A44">
        <v>43</v>
      </c>
      <c r="B44" t="s">
        <v>19</v>
      </c>
      <c r="C44" t="s">
        <v>12</v>
      </c>
      <c r="D44">
        <v>120</v>
      </c>
      <c r="E44">
        <v>2.1</v>
      </c>
      <c r="F44">
        <v>720</v>
      </c>
      <c r="G44">
        <v>39</v>
      </c>
      <c r="H44">
        <v>392</v>
      </c>
      <c r="I44">
        <v>43</v>
      </c>
      <c r="J44" t="str">
        <f t="shared" si="0"/>
        <v>40+</v>
      </c>
      <c r="K44" t="s">
        <v>13</v>
      </c>
      <c r="L44">
        <v>2</v>
      </c>
      <c r="M44" t="str">
        <f t="shared" si="1"/>
        <v>Yes</v>
      </c>
      <c r="N44" t="str">
        <f>IF(user_behavior_dataset!$D44&lt;60,"Low",
IF(user_behavior_dataset!$D44&lt;=180,"Medium","High"))</f>
        <v>Medium</v>
      </c>
      <c r="O44" t="str">
        <f>IF(user_behavior_dataset!$H44&gt;=1341,"Yes","No")</f>
        <v>No</v>
      </c>
      <c r="P44" t="str">
        <f>IF(user_behavior_dataset!$F44&gt;=2229,"Yes","No")</f>
        <v>No</v>
      </c>
    </row>
    <row r="45" spans="1:16" x14ac:dyDescent="0.3">
      <c r="A45">
        <v>44</v>
      </c>
      <c r="B45" t="s">
        <v>19</v>
      </c>
      <c r="C45" t="s">
        <v>12</v>
      </c>
      <c r="D45">
        <v>152</v>
      </c>
      <c r="E45">
        <v>3.7</v>
      </c>
      <c r="F45">
        <v>993</v>
      </c>
      <c r="G45">
        <v>32</v>
      </c>
      <c r="H45">
        <v>429</v>
      </c>
      <c r="I45">
        <v>18</v>
      </c>
      <c r="J45" t="str">
        <f t="shared" si="0"/>
        <v>&lt;25</v>
      </c>
      <c r="K45" t="s">
        <v>13</v>
      </c>
      <c r="L45">
        <v>2</v>
      </c>
      <c r="M45" t="str">
        <f t="shared" si="1"/>
        <v>Yes</v>
      </c>
      <c r="N45" t="str">
        <f>IF(user_behavior_dataset!$D45&lt;60,"Low",
IF(user_behavior_dataset!$D45&lt;=180,"Medium","High"))</f>
        <v>Medium</v>
      </c>
      <c r="O45" t="str">
        <f>IF(user_behavior_dataset!$H45&gt;=1341,"Yes","No")</f>
        <v>No</v>
      </c>
      <c r="P45" t="str">
        <f>IF(user_behavior_dataset!$F45&gt;=2229,"Yes","No")</f>
        <v>No</v>
      </c>
    </row>
    <row r="46" spans="1:16" x14ac:dyDescent="0.3">
      <c r="A46">
        <v>45</v>
      </c>
      <c r="B46" t="s">
        <v>16</v>
      </c>
      <c r="C46" t="s">
        <v>12</v>
      </c>
      <c r="D46">
        <v>138</v>
      </c>
      <c r="E46">
        <v>2.4</v>
      </c>
      <c r="F46">
        <v>837</v>
      </c>
      <c r="G46">
        <v>21</v>
      </c>
      <c r="H46">
        <v>572</v>
      </c>
      <c r="I46">
        <v>56</v>
      </c>
      <c r="J46" t="str">
        <f t="shared" si="0"/>
        <v>40+</v>
      </c>
      <c r="K46" t="s">
        <v>15</v>
      </c>
      <c r="L46">
        <v>2</v>
      </c>
      <c r="M46" t="str">
        <f t="shared" si="1"/>
        <v>Yes</v>
      </c>
      <c r="N46" t="str">
        <f>IF(user_behavior_dataset!$D46&lt;60,"Low",
IF(user_behavior_dataset!$D46&lt;=180,"Medium","High"))</f>
        <v>Medium</v>
      </c>
      <c r="O46" t="str">
        <f>IF(user_behavior_dataset!$H46&gt;=1341,"Yes","No")</f>
        <v>No</v>
      </c>
      <c r="P46" t="str">
        <f>IF(user_behavior_dataset!$F46&gt;=2229,"Yes","No")</f>
        <v>No</v>
      </c>
    </row>
    <row r="47" spans="1:16" x14ac:dyDescent="0.3">
      <c r="A47">
        <v>46</v>
      </c>
      <c r="B47" t="s">
        <v>16</v>
      </c>
      <c r="C47" t="s">
        <v>12</v>
      </c>
      <c r="D47">
        <v>502</v>
      </c>
      <c r="E47">
        <v>10.9</v>
      </c>
      <c r="F47">
        <v>2476</v>
      </c>
      <c r="G47">
        <v>96</v>
      </c>
      <c r="H47">
        <v>1935</v>
      </c>
      <c r="I47">
        <v>39</v>
      </c>
      <c r="J47" t="str">
        <f t="shared" si="0"/>
        <v>25–40</v>
      </c>
      <c r="K47" t="s">
        <v>13</v>
      </c>
      <c r="L47">
        <v>5</v>
      </c>
      <c r="M47" t="str">
        <f t="shared" si="1"/>
        <v>Yes</v>
      </c>
      <c r="N47" t="str">
        <f>IF(user_behavior_dataset!$D47&lt;60,"Low",
IF(user_behavior_dataset!$D47&lt;=180,"Medium","High"))</f>
        <v>High</v>
      </c>
      <c r="O47" t="str">
        <f>IF(user_behavior_dataset!$H47&gt;=1341,"Yes","No")</f>
        <v>Yes</v>
      </c>
      <c r="P47" t="str">
        <f>IF(user_behavior_dataset!$F47&gt;=2229,"Yes","No")</f>
        <v>Yes</v>
      </c>
    </row>
    <row r="48" spans="1:16" x14ac:dyDescent="0.3">
      <c r="A48">
        <v>47</v>
      </c>
      <c r="B48" t="s">
        <v>14</v>
      </c>
      <c r="C48" t="s">
        <v>12</v>
      </c>
      <c r="D48">
        <v>558</v>
      </c>
      <c r="E48">
        <v>8.4</v>
      </c>
      <c r="F48">
        <v>2447</v>
      </c>
      <c r="G48">
        <v>97</v>
      </c>
      <c r="H48">
        <v>1594</v>
      </c>
      <c r="I48">
        <v>22</v>
      </c>
      <c r="J48" t="str">
        <f t="shared" si="0"/>
        <v>&lt;25</v>
      </c>
      <c r="K48" t="s">
        <v>15</v>
      </c>
      <c r="L48">
        <v>5</v>
      </c>
      <c r="M48" t="str">
        <f t="shared" si="1"/>
        <v>Yes</v>
      </c>
      <c r="N48" t="str">
        <f>IF(user_behavior_dataset!$D48&lt;60,"Low",
IF(user_behavior_dataset!$D48&lt;=180,"Medium","High"))</f>
        <v>High</v>
      </c>
      <c r="O48" t="str">
        <f>IF(user_behavior_dataset!$H48&gt;=1341,"Yes","No")</f>
        <v>Yes</v>
      </c>
      <c r="P48" t="str">
        <f>IF(user_behavior_dataset!$F48&gt;=2229,"Yes","No")</f>
        <v>Yes</v>
      </c>
    </row>
    <row r="49" spans="1:16" x14ac:dyDescent="0.3">
      <c r="A49">
        <v>48</v>
      </c>
      <c r="B49" t="s">
        <v>19</v>
      </c>
      <c r="C49" t="s">
        <v>12</v>
      </c>
      <c r="D49">
        <v>138</v>
      </c>
      <c r="E49">
        <v>3.6</v>
      </c>
      <c r="F49">
        <v>889</v>
      </c>
      <c r="G49">
        <v>25</v>
      </c>
      <c r="H49">
        <v>323</v>
      </c>
      <c r="I49">
        <v>27</v>
      </c>
      <c r="J49" t="str">
        <f t="shared" si="0"/>
        <v>25–40</v>
      </c>
      <c r="K49" t="s">
        <v>15</v>
      </c>
      <c r="L49">
        <v>2</v>
      </c>
      <c r="M49" t="str">
        <f t="shared" si="1"/>
        <v>Yes</v>
      </c>
      <c r="N49" t="str">
        <f>IF(user_behavior_dataset!$D49&lt;60,"Low",
IF(user_behavior_dataset!$D49&lt;=180,"Medium","High"))</f>
        <v>Medium</v>
      </c>
      <c r="O49" t="str">
        <f>IF(user_behavior_dataset!$H49&gt;=1341,"Yes","No")</f>
        <v>No</v>
      </c>
      <c r="P49" t="str">
        <f>IF(user_behavior_dataset!$F49&gt;=2229,"Yes","No")</f>
        <v>No</v>
      </c>
    </row>
    <row r="50" spans="1:16" x14ac:dyDescent="0.3">
      <c r="A50">
        <v>49</v>
      </c>
      <c r="B50" t="s">
        <v>11</v>
      </c>
      <c r="C50" t="s">
        <v>12</v>
      </c>
      <c r="D50">
        <v>580</v>
      </c>
      <c r="E50">
        <v>8.1999999999999993</v>
      </c>
      <c r="F50">
        <v>2623</v>
      </c>
      <c r="G50">
        <v>90</v>
      </c>
      <c r="H50">
        <v>2262</v>
      </c>
      <c r="I50">
        <v>49</v>
      </c>
      <c r="J50" t="str">
        <f t="shared" si="0"/>
        <v>40+</v>
      </c>
      <c r="K50" t="s">
        <v>13</v>
      </c>
      <c r="L50">
        <v>5</v>
      </c>
      <c r="M50" t="str">
        <f t="shared" si="1"/>
        <v>Yes</v>
      </c>
      <c r="N50" t="str">
        <f>IF(user_behavior_dataset!$D50&lt;60,"Low",
IF(user_behavior_dataset!$D50&lt;=180,"Medium","High"))</f>
        <v>High</v>
      </c>
      <c r="O50" t="str">
        <f>IF(user_behavior_dataset!$H50&gt;=1341,"Yes","No")</f>
        <v>Yes</v>
      </c>
      <c r="P50" t="str">
        <f>IF(user_behavior_dataset!$F50&gt;=2229,"Yes","No")</f>
        <v>Yes</v>
      </c>
    </row>
    <row r="51" spans="1:16" x14ac:dyDescent="0.3">
      <c r="A51">
        <v>50</v>
      </c>
      <c r="B51" t="s">
        <v>14</v>
      </c>
      <c r="C51" t="s">
        <v>12</v>
      </c>
      <c r="D51">
        <v>589</v>
      </c>
      <c r="E51">
        <v>8.6999999999999993</v>
      </c>
      <c r="F51">
        <v>2736</v>
      </c>
      <c r="G51">
        <v>82</v>
      </c>
      <c r="H51">
        <v>1997</v>
      </c>
      <c r="I51">
        <v>49</v>
      </c>
      <c r="J51" t="str">
        <f t="shared" si="0"/>
        <v>40+</v>
      </c>
      <c r="K51" t="s">
        <v>13</v>
      </c>
      <c r="L51">
        <v>5</v>
      </c>
      <c r="M51" t="str">
        <f t="shared" si="1"/>
        <v>Yes</v>
      </c>
      <c r="N51" t="str">
        <f>IF(user_behavior_dataset!$D51&lt;60,"Low",
IF(user_behavior_dataset!$D51&lt;=180,"Medium","High"))</f>
        <v>High</v>
      </c>
      <c r="O51" t="str">
        <f>IF(user_behavior_dataset!$H51&gt;=1341,"Yes","No")</f>
        <v>Yes</v>
      </c>
      <c r="P51" t="str">
        <f>IF(user_behavior_dataset!$F51&gt;=2229,"Yes","No")</f>
        <v>Yes</v>
      </c>
    </row>
    <row r="52" spans="1:16" x14ac:dyDescent="0.3">
      <c r="A52">
        <v>51</v>
      </c>
      <c r="B52" t="s">
        <v>16</v>
      </c>
      <c r="C52" t="s">
        <v>12</v>
      </c>
      <c r="D52">
        <v>452</v>
      </c>
      <c r="E52">
        <v>7.4</v>
      </c>
      <c r="F52">
        <v>2180</v>
      </c>
      <c r="G52">
        <v>61</v>
      </c>
      <c r="H52">
        <v>1417</v>
      </c>
      <c r="I52">
        <v>54</v>
      </c>
      <c r="J52" t="str">
        <f t="shared" si="0"/>
        <v>40+</v>
      </c>
      <c r="K52" t="s">
        <v>15</v>
      </c>
      <c r="L52">
        <v>4</v>
      </c>
      <c r="M52" t="str">
        <f t="shared" si="1"/>
        <v>Yes</v>
      </c>
      <c r="N52" t="str">
        <f>IF(user_behavior_dataset!$D52&lt;60,"Low",
IF(user_behavior_dataset!$D52&lt;=180,"Medium","High"))</f>
        <v>High</v>
      </c>
      <c r="O52" t="str">
        <f>IF(user_behavior_dataset!$H52&gt;=1341,"Yes","No")</f>
        <v>Yes</v>
      </c>
      <c r="P52" t="str">
        <f>IF(user_behavior_dataset!$F52&gt;=2229,"Yes","No")</f>
        <v>No</v>
      </c>
    </row>
    <row r="53" spans="1:16" x14ac:dyDescent="0.3">
      <c r="A53">
        <v>52</v>
      </c>
      <c r="B53" t="s">
        <v>16</v>
      </c>
      <c r="C53" t="s">
        <v>12</v>
      </c>
      <c r="D53">
        <v>245</v>
      </c>
      <c r="E53">
        <v>5.9</v>
      </c>
      <c r="F53">
        <v>1243</v>
      </c>
      <c r="G53">
        <v>52</v>
      </c>
      <c r="H53">
        <v>885</v>
      </c>
      <c r="I53">
        <v>29</v>
      </c>
      <c r="J53" t="str">
        <f t="shared" si="0"/>
        <v>25–40</v>
      </c>
      <c r="K53" t="s">
        <v>13</v>
      </c>
      <c r="L53">
        <v>3</v>
      </c>
      <c r="M53" t="str">
        <f t="shared" si="1"/>
        <v>Yes</v>
      </c>
      <c r="N53" t="str">
        <f>IF(user_behavior_dataset!$D53&lt;60,"Low",
IF(user_behavior_dataset!$D53&lt;=180,"Medium","High"))</f>
        <v>High</v>
      </c>
      <c r="O53" t="str">
        <f>IF(user_behavior_dataset!$H53&gt;=1341,"Yes","No")</f>
        <v>No</v>
      </c>
      <c r="P53" t="str">
        <f>IF(user_behavior_dataset!$F53&gt;=2229,"Yes","No")</f>
        <v>No</v>
      </c>
    </row>
    <row r="54" spans="1:16" x14ac:dyDescent="0.3">
      <c r="A54">
        <v>53</v>
      </c>
      <c r="B54" t="s">
        <v>19</v>
      </c>
      <c r="C54" t="s">
        <v>12</v>
      </c>
      <c r="D54">
        <v>125</v>
      </c>
      <c r="E54">
        <v>2.7</v>
      </c>
      <c r="F54">
        <v>690</v>
      </c>
      <c r="G54">
        <v>28</v>
      </c>
      <c r="H54">
        <v>393</v>
      </c>
      <c r="I54">
        <v>27</v>
      </c>
      <c r="J54" t="str">
        <f t="shared" si="0"/>
        <v>25–40</v>
      </c>
      <c r="K54" t="s">
        <v>15</v>
      </c>
      <c r="L54">
        <v>2</v>
      </c>
      <c r="M54" t="str">
        <f t="shared" si="1"/>
        <v>Yes</v>
      </c>
      <c r="N54" t="str">
        <f>IF(user_behavior_dataset!$D54&lt;60,"Low",
IF(user_behavior_dataset!$D54&lt;=180,"Medium","High"))</f>
        <v>Medium</v>
      </c>
      <c r="O54" t="str">
        <f>IF(user_behavior_dataset!$H54&gt;=1341,"Yes","No")</f>
        <v>No</v>
      </c>
      <c r="P54" t="str">
        <f>IF(user_behavior_dataset!$F54&gt;=2229,"Yes","No")</f>
        <v>No</v>
      </c>
    </row>
    <row r="55" spans="1:16" x14ac:dyDescent="0.3">
      <c r="A55">
        <v>54</v>
      </c>
      <c r="B55" t="s">
        <v>16</v>
      </c>
      <c r="C55" t="s">
        <v>12</v>
      </c>
      <c r="D55">
        <v>97</v>
      </c>
      <c r="E55">
        <v>2.2000000000000002</v>
      </c>
      <c r="F55">
        <v>1101</v>
      </c>
      <c r="G55">
        <v>38</v>
      </c>
      <c r="H55">
        <v>375</v>
      </c>
      <c r="I55">
        <v>53</v>
      </c>
      <c r="J55" t="str">
        <f t="shared" si="0"/>
        <v>40+</v>
      </c>
      <c r="K55" t="s">
        <v>13</v>
      </c>
      <c r="L55">
        <v>2</v>
      </c>
      <c r="M55" t="str">
        <f t="shared" si="1"/>
        <v>Yes</v>
      </c>
      <c r="N55" t="str">
        <f>IF(user_behavior_dataset!$D55&lt;60,"Low",
IF(user_behavior_dataset!$D55&lt;=180,"Medium","High"))</f>
        <v>Medium</v>
      </c>
      <c r="O55" t="str">
        <f>IF(user_behavior_dataset!$H55&gt;=1341,"Yes","No")</f>
        <v>No</v>
      </c>
      <c r="P55" t="str">
        <f>IF(user_behavior_dataset!$F55&gt;=2229,"Yes","No")</f>
        <v>No</v>
      </c>
    </row>
    <row r="56" spans="1:16" x14ac:dyDescent="0.3">
      <c r="A56">
        <v>55</v>
      </c>
      <c r="B56" t="s">
        <v>11</v>
      </c>
      <c r="C56" t="s">
        <v>12</v>
      </c>
      <c r="D56">
        <v>516</v>
      </c>
      <c r="E56">
        <v>8.6999999999999993</v>
      </c>
      <c r="F56">
        <v>2857</v>
      </c>
      <c r="G56">
        <v>83</v>
      </c>
      <c r="H56">
        <v>2189</v>
      </c>
      <c r="I56">
        <v>53</v>
      </c>
      <c r="J56" t="str">
        <f t="shared" si="0"/>
        <v>40+</v>
      </c>
      <c r="K56" t="s">
        <v>15</v>
      </c>
      <c r="L56">
        <v>5</v>
      </c>
      <c r="M56" t="str">
        <f t="shared" si="1"/>
        <v>Yes</v>
      </c>
      <c r="N56" t="str">
        <f>IF(user_behavior_dataset!$D56&lt;60,"Low",
IF(user_behavior_dataset!$D56&lt;=180,"Medium","High"))</f>
        <v>High</v>
      </c>
      <c r="O56" t="str">
        <f>IF(user_behavior_dataset!$H56&gt;=1341,"Yes","No")</f>
        <v>Yes</v>
      </c>
      <c r="P56" t="str">
        <f>IF(user_behavior_dataset!$F56&gt;=2229,"Yes","No")</f>
        <v>Yes</v>
      </c>
    </row>
    <row r="57" spans="1:16" x14ac:dyDescent="0.3">
      <c r="A57">
        <v>56</v>
      </c>
      <c r="B57" t="s">
        <v>17</v>
      </c>
      <c r="C57" t="s">
        <v>18</v>
      </c>
      <c r="D57">
        <v>68</v>
      </c>
      <c r="E57">
        <v>1.6</v>
      </c>
      <c r="F57">
        <v>450</v>
      </c>
      <c r="G57">
        <v>14</v>
      </c>
      <c r="H57">
        <v>111</v>
      </c>
      <c r="I57">
        <v>30</v>
      </c>
      <c r="J57" t="str">
        <f t="shared" si="0"/>
        <v>25–40</v>
      </c>
      <c r="K57" t="s">
        <v>13</v>
      </c>
      <c r="L57">
        <v>1</v>
      </c>
      <c r="M57" t="str">
        <f t="shared" si="1"/>
        <v>Yes</v>
      </c>
      <c r="N57" t="str">
        <f>IF(user_behavior_dataset!$D57&lt;60,"Low",
IF(user_behavior_dataset!$D57&lt;=180,"Medium","High"))</f>
        <v>Medium</v>
      </c>
      <c r="O57" t="str">
        <f>IF(user_behavior_dataset!$H57&gt;=1341,"Yes","No")</f>
        <v>No</v>
      </c>
      <c r="P57" t="str">
        <f>IF(user_behavior_dataset!$F57&gt;=2229,"Yes","No")</f>
        <v>No</v>
      </c>
    </row>
    <row r="58" spans="1:16" x14ac:dyDescent="0.3">
      <c r="A58">
        <v>57</v>
      </c>
      <c r="B58" t="s">
        <v>14</v>
      </c>
      <c r="C58" t="s">
        <v>12</v>
      </c>
      <c r="D58">
        <v>64</v>
      </c>
      <c r="E58">
        <v>1.1000000000000001</v>
      </c>
      <c r="F58">
        <v>572</v>
      </c>
      <c r="G58">
        <v>10</v>
      </c>
      <c r="H58">
        <v>161</v>
      </c>
      <c r="I58">
        <v>42</v>
      </c>
      <c r="J58" t="str">
        <f t="shared" si="0"/>
        <v>40+</v>
      </c>
      <c r="K58" t="s">
        <v>15</v>
      </c>
      <c r="L58">
        <v>1</v>
      </c>
      <c r="M58" t="str">
        <f t="shared" si="1"/>
        <v>Yes</v>
      </c>
      <c r="N58" t="str">
        <f>IF(user_behavior_dataset!$D58&lt;60,"Low",
IF(user_behavior_dataset!$D58&lt;=180,"Medium","High"))</f>
        <v>Medium</v>
      </c>
      <c r="O58" t="str">
        <f>IF(user_behavior_dataset!$H58&gt;=1341,"Yes","No")</f>
        <v>No</v>
      </c>
      <c r="P58" t="str">
        <f>IF(user_behavior_dataset!$F58&gt;=2229,"Yes","No")</f>
        <v>No</v>
      </c>
    </row>
    <row r="59" spans="1:16" x14ac:dyDescent="0.3">
      <c r="A59">
        <v>58</v>
      </c>
      <c r="B59" t="s">
        <v>14</v>
      </c>
      <c r="C59" t="s">
        <v>12</v>
      </c>
      <c r="D59">
        <v>539</v>
      </c>
      <c r="E59">
        <v>8.4</v>
      </c>
      <c r="F59">
        <v>2796</v>
      </c>
      <c r="G59">
        <v>89</v>
      </c>
      <c r="H59">
        <v>2415</v>
      </c>
      <c r="I59">
        <v>26</v>
      </c>
      <c r="J59" t="str">
        <f t="shared" si="0"/>
        <v>25–40</v>
      </c>
      <c r="K59" t="s">
        <v>13</v>
      </c>
      <c r="L59">
        <v>5</v>
      </c>
      <c r="M59" t="str">
        <f t="shared" si="1"/>
        <v>Yes</v>
      </c>
      <c r="N59" t="str">
        <f>IF(user_behavior_dataset!$D59&lt;60,"Low",
IF(user_behavior_dataset!$D59&lt;=180,"Medium","High"))</f>
        <v>High</v>
      </c>
      <c r="O59" t="str">
        <f>IF(user_behavior_dataset!$H59&gt;=1341,"Yes","No")</f>
        <v>Yes</v>
      </c>
      <c r="P59" t="str">
        <f>IF(user_behavior_dataset!$F59&gt;=2229,"Yes","No")</f>
        <v>Yes</v>
      </c>
    </row>
    <row r="60" spans="1:16" x14ac:dyDescent="0.3">
      <c r="A60">
        <v>59</v>
      </c>
      <c r="B60" t="s">
        <v>16</v>
      </c>
      <c r="C60" t="s">
        <v>12</v>
      </c>
      <c r="D60">
        <v>428</v>
      </c>
      <c r="E60">
        <v>7</v>
      </c>
      <c r="F60">
        <v>2306</v>
      </c>
      <c r="G60">
        <v>75</v>
      </c>
      <c r="H60">
        <v>1144</v>
      </c>
      <c r="I60">
        <v>22</v>
      </c>
      <c r="J60" t="str">
        <f t="shared" si="0"/>
        <v>&lt;25</v>
      </c>
      <c r="K60" t="s">
        <v>13</v>
      </c>
      <c r="L60">
        <v>4</v>
      </c>
      <c r="M60" t="str">
        <f t="shared" si="1"/>
        <v>Yes</v>
      </c>
      <c r="N60" t="str">
        <f>IF(user_behavior_dataset!$D60&lt;60,"Low",
IF(user_behavior_dataset!$D60&lt;=180,"Medium","High"))</f>
        <v>High</v>
      </c>
      <c r="O60" t="str">
        <f>IF(user_behavior_dataset!$H60&gt;=1341,"Yes","No")</f>
        <v>No</v>
      </c>
      <c r="P60" t="str">
        <f>IF(user_behavior_dataset!$F60&gt;=2229,"Yes","No")</f>
        <v>Yes</v>
      </c>
    </row>
    <row r="61" spans="1:16" x14ac:dyDescent="0.3">
      <c r="A61">
        <v>60</v>
      </c>
      <c r="B61" t="s">
        <v>17</v>
      </c>
      <c r="C61" t="s">
        <v>18</v>
      </c>
      <c r="D61">
        <v>325</v>
      </c>
      <c r="E61">
        <v>7.1</v>
      </c>
      <c r="F61">
        <v>2269</v>
      </c>
      <c r="G61">
        <v>64</v>
      </c>
      <c r="H61">
        <v>1053</v>
      </c>
      <c r="I61">
        <v>56</v>
      </c>
      <c r="J61" t="str">
        <f t="shared" si="0"/>
        <v>40+</v>
      </c>
      <c r="K61" t="s">
        <v>13</v>
      </c>
      <c r="L61">
        <v>4</v>
      </c>
      <c r="M61" t="str">
        <f t="shared" si="1"/>
        <v>Yes</v>
      </c>
      <c r="N61" t="str">
        <f>IF(user_behavior_dataset!$D61&lt;60,"Low",
IF(user_behavior_dataset!$D61&lt;=180,"Medium","High"))</f>
        <v>High</v>
      </c>
      <c r="O61" t="str">
        <f>IF(user_behavior_dataset!$H61&gt;=1341,"Yes","No")</f>
        <v>No</v>
      </c>
      <c r="P61" t="str">
        <f>IF(user_behavior_dataset!$F61&gt;=2229,"Yes","No")</f>
        <v>Yes</v>
      </c>
    </row>
    <row r="62" spans="1:16" x14ac:dyDescent="0.3">
      <c r="A62">
        <v>61</v>
      </c>
      <c r="B62" t="s">
        <v>16</v>
      </c>
      <c r="C62" t="s">
        <v>12</v>
      </c>
      <c r="D62">
        <v>522</v>
      </c>
      <c r="E62">
        <v>11.9</v>
      </c>
      <c r="F62">
        <v>2798</v>
      </c>
      <c r="G62">
        <v>85</v>
      </c>
      <c r="H62">
        <v>1663</v>
      </c>
      <c r="I62">
        <v>28</v>
      </c>
      <c r="J62" t="str">
        <f t="shared" si="0"/>
        <v>25–40</v>
      </c>
      <c r="K62" t="s">
        <v>15</v>
      </c>
      <c r="L62">
        <v>5</v>
      </c>
      <c r="M62" t="str">
        <f t="shared" si="1"/>
        <v>Yes</v>
      </c>
      <c r="N62" t="str">
        <f>IF(user_behavior_dataset!$D62&lt;60,"Low",
IF(user_behavior_dataset!$D62&lt;=180,"Medium","High"))</f>
        <v>High</v>
      </c>
      <c r="O62" t="str">
        <f>IF(user_behavior_dataset!$H62&gt;=1341,"Yes","No")</f>
        <v>Yes</v>
      </c>
      <c r="P62" t="str">
        <f>IF(user_behavior_dataset!$F62&gt;=2229,"Yes","No")</f>
        <v>Yes</v>
      </c>
    </row>
    <row r="63" spans="1:16" x14ac:dyDescent="0.3">
      <c r="A63">
        <v>62</v>
      </c>
      <c r="B63" t="s">
        <v>16</v>
      </c>
      <c r="C63" t="s">
        <v>12</v>
      </c>
      <c r="D63">
        <v>309</v>
      </c>
      <c r="E63">
        <v>7.5</v>
      </c>
      <c r="F63">
        <v>2292</v>
      </c>
      <c r="G63">
        <v>77</v>
      </c>
      <c r="H63">
        <v>1253</v>
      </c>
      <c r="I63">
        <v>57</v>
      </c>
      <c r="J63" t="str">
        <f t="shared" si="0"/>
        <v>40+</v>
      </c>
      <c r="K63" t="s">
        <v>15</v>
      </c>
      <c r="L63">
        <v>4</v>
      </c>
      <c r="M63" t="str">
        <f t="shared" si="1"/>
        <v>Yes</v>
      </c>
      <c r="N63" t="str">
        <f>IF(user_behavior_dataset!$D63&lt;60,"Low",
IF(user_behavior_dataset!$D63&lt;=180,"Medium","High"))</f>
        <v>High</v>
      </c>
      <c r="O63" t="str">
        <f>IF(user_behavior_dataset!$H63&gt;=1341,"Yes","No")</f>
        <v>No</v>
      </c>
      <c r="P63" t="str">
        <f>IF(user_behavior_dataset!$F63&gt;=2229,"Yes","No")</f>
        <v>Yes</v>
      </c>
    </row>
    <row r="64" spans="1:16" x14ac:dyDescent="0.3">
      <c r="A64">
        <v>63</v>
      </c>
      <c r="B64" t="s">
        <v>16</v>
      </c>
      <c r="C64" t="s">
        <v>12</v>
      </c>
      <c r="D64">
        <v>79</v>
      </c>
      <c r="E64">
        <v>1.9</v>
      </c>
      <c r="F64">
        <v>493</v>
      </c>
      <c r="G64">
        <v>14</v>
      </c>
      <c r="H64">
        <v>128</v>
      </c>
      <c r="I64">
        <v>55</v>
      </c>
      <c r="J64" t="str">
        <f t="shared" si="0"/>
        <v>40+</v>
      </c>
      <c r="K64" t="s">
        <v>13</v>
      </c>
      <c r="L64">
        <v>1</v>
      </c>
      <c r="M64" t="str">
        <f t="shared" si="1"/>
        <v>Yes</v>
      </c>
      <c r="N64" t="str">
        <f>IF(user_behavior_dataset!$D64&lt;60,"Low",
IF(user_behavior_dataset!$D64&lt;=180,"Medium","High"))</f>
        <v>Medium</v>
      </c>
      <c r="O64" t="str">
        <f>IF(user_behavior_dataset!$H64&gt;=1341,"Yes","No")</f>
        <v>No</v>
      </c>
      <c r="P64" t="str">
        <f>IF(user_behavior_dataset!$F64&gt;=2229,"Yes","No")</f>
        <v>No</v>
      </c>
    </row>
    <row r="65" spans="1:16" x14ac:dyDescent="0.3">
      <c r="A65">
        <v>64</v>
      </c>
      <c r="B65" t="s">
        <v>16</v>
      </c>
      <c r="C65" t="s">
        <v>12</v>
      </c>
      <c r="D65">
        <v>545</v>
      </c>
      <c r="E65">
        <v>11.5</v>
      </c>
      <c r="F65">
        <v>2911</v>
      </c>
      <c r="G65">
        <v>87</v>
      </c>
      <c r="H65">
        <v>1717</v>
      </c>
      <c r="I65">
        <v>21</v>
      </c>
      <c r="J65" t="str">
        <f t="shared" si="0"/>
        <v>&lt;25</v>
      </c>
      <c r="K65" t="s">
        <v>15</v>
      </c>
      <c r="L65">
        <v>5</v>
      </c>
      <c r="M65" t="str">
        <f t="shared" si="1"/>
        <v>Yes</v>
      </c>
      <c r="N65" t="str">
        <f>IF(user_behavior_dataset!$D65&lt;60,"Low",
IF(user_behavior_dataset!$D65&lt;=180,"Medium","High"))</f>
        <v>High</v>
      </c>
      <c r="O65" t="str">
        <f>IF(user_behavior_dataset!$H65&gt;=1341,"Yes","No")</f>
        <v>Yes</v>
      </c>
      <c r="P65" t="str">
        <f>IF(user_behavior_dataset!$F65&gt;=2229,"Yes","No")</f>
        <v>Yes</v>
      </c>
    </row>
    <row r="66" spans="1:16" x14ac:dyDescent="0.3">
      <c r="A66">
        <v>65</v>
      </c>
      <c r="B66" t="s">
        <v>19</v>
      </c>
      <c r="C66" t="s">
        <v>12</v>
      </c>
      <c r="D66">
        <v>459</v>
      </c>
      <c r="E66">
        <v>7</v>
      </c>
      <c r="F66">
        <v>1982</v>
      </c>
      <c r="G66">
        <v>67</v>
      </c>
      <c r="H66">
        <v>1091</v>
      </c>
      <c r="I66">
        <v>43</v>
      </c>
      <c r="J66" t="str">
        <f t="shared" si="0"/>
        <v>40+</v>
      </c>
      <c r="K66" t="s">
        <v>13</v>
      </c>
      <c r="L66">
        <v>4</v>
      </c>
      <c r="M66" t="str">
        <f t="shared" si="1"/>
        <v>Yes</v>
      </c>
      <c r="N66" t="str">
        <f>IF(user_behavior_dataset!$D66&lt;60,"Low",
IF(user_behavior_dataset!$D66&lt;=180,"Medium","High"))</f>
        <v>High</v>
      </c>
      <c r="O66" t="str">
        <f>IF(user_behavior_dataset!$H66&gt;=1341,"Yes","No")</f>
        <v>No</v>
      </c>
      <c r="P66" t="str">
        <f>IF(user_behavior_dataset!$F66&gt;=2229,"Yes","No")</f>
        <v>No</v>
      </c>
    </row>
    <row r="67" spans="1:16" x14ac:dyDescent="0.3">
      <c r="A67">
        <v>66</v>
      </c>
      <c r="B67" t="s">
        <v>17</v>
      </c>
      <c r="C67" t="s">
        <v>18</v>
      </c>
      <c r="D67">
        <v>225</v>
      </c>
      <c r="E67">
        <v>4</v>
      </c>
      <c r="F67">
        <v>1420</v>
      </c>
      <c r="G67">
        <v>48</v>
      </c>
      <c r="H67">
        <v>917</v>
      </c>
      <c r="I67">
        <v>56</v>
      </c>
      <c r="J67" t="str">
        <f t="shared" ref="J67:J130" si="2">IF(I67="","Unknown",IF(I67&lt;25,"&lt;25",IF(I67&lt;=40,"25–40","40+")))</f>
        <v>40+</v>
      </c>
      <c r="K67" t="s">
        <v>13</v>
      </c>
      <c r="L67">
        <v>3</v>
      </c>
      <c r="M67" t="str">
        <f t="shared" ref="M67:M130" si="3">IF(D67&gt;=60,"Yes","No")</f>
        <v>Yes</v>
      </c>
      <c r="N67" t="str">
        <f>IF(user_behavior_dataset!$D67&lt;60,"Low",
IF(user_behavior_dataset!$D67&lt;=180,"Medium","High"))</f>
        <v>High</v>
      </c>
      <c r="O67" t="str">
        <f>IF(user_behavior_dataset!$H67&gt;=1341,"Yes","No")</f>
        <v>No</v>
      </c>
      <c r="P67" t="str">
        <f>IF(user_behavior_dataset!$F67&gt;=2229,"Yes","No")</f>
        <v>No</v>
      </c>
    </row>
    <row r="68" spans="1:16" x14ac:dyDescent="0.3">
      <c r="A68">
        <v>67</v>
      </c>
      <c r="B68" t="s">
        <v>17</v>
      </c>
      <c r="C68" t="s">
        <v>18</v>
      </c>
      <c r="D68">
        <v>257</v>
      </c>
      <c r="E68">
        <v>4.5</v>
      </c>
      <c r="F68">
        <v>1705</v>
      </c>
      <c r="G68">
        <v>57</v>
      </c>
      <c r="H68">
        <v>912</v>
      </c>
      <c r="I68">
        <v>55</v>
      </c>
      <c r="J68" t="str">
        <f t="shared" si="2"/>
        <v>40+</v>
      </c>
      <c r="K68" t="s">
        <v>13</v>
      </c>
      <c r="L68">
        <v>3</v>
      </c>
      <c r="M68" t="str">
        <f t="shared" si="3"/>
        <v>Yes</v>
      </c>
      <c r="N68" t="str">
        <f>IF(user_behavior_dataset!$D68&lt;60,"Low",
IF(user_behavior_dataset!$D68&lt;=180,"Medium","High"))</f>
        <v>High</v>
      </c>
      <c r="O68" t="str">
        <f>IF(user_behavior_dataset!$H68&gt;=1341,"Yes","No")</f>
        <v>No</v>
      </c>
      <c r="P68" t="str">
        <f>IF(user_behavior_dataset!$F68&gt;=2229,"Yes","No")</f>
        <v>No</v>
      </c>
    </row>
    <row r="69" spans="1:16" x14ac:dyDescent="0.3">
      <c r="A69">
        <v>68</v>
      </c>
      <c r="B69" t="s">
        <v>16</v>
      </c>
      <c r="C69" t="s">
        <v>12</v>
      </c>
      <c r="D69">
        <v>134</v>
      </c>
      <c r="E69">
        <v>4</v>
      </c>
      <c r="F69">
        <v>773</v>
      </c>
      <c r="G69">
        <v>35</v>
      </c>
      <c r="H69">
        <v>449</v>
      </c>
      <c r="I69">
        <v>28</v>
      </c>
      <c r="J69" t="str">
        <f t="shared" si="2"/>
        <v>25–40</v>
      </c>
      <c r="K69" t="s">
        <v>15</v>
      </c>
      <c r="L69">
        <v>2</v>
      </c>
      <c r="M69" t="str">
        <f t="shared" si="3"/>
        <v>Yes</v>
      </c>
      <c r="N69" t="str">
        <f>IF(user_behavior_dataset!$D69&lt;60,"Low",
IF(user_behavior_dataset!$D69&lt;=180,"Medium","High"))</f>
        <v>Medium</v>
      </c>
      <c r="O69" t="str">
        <f>IF(user_behavior_dataset!$H69&gt;=1341,"Yes","No")</f>
        <v>No</v>
      </c>
      <c r="P69" t="str">
        <f>IF(user_behavior_dataset!$F69&gt;=2229,"Yes","No")</f>
        <v>No</v>
      </c>
    </row>
    <row r="70" spans="1:16" x14ac:dyDescent="0.3">
      <c r="A70">
        <v>69</v>
      </c>
      <c r="B70" t="s">
        <v>17</v>
      </c>
      <c r="C70" t="s">
        <v>18</v>
      </c>
      <c r="D70">
        <v>516</v>
      </c>
      <c r="E70">
        <v>10.199999999999999</v>
      </c>
      <c r="F70">
        <v>2932</v>
      </c>
      <c r="G70">
        <v>98</v>
      </c>
      <c r="H70">
        <v>1547</v>
      </c>
      <c r="I70">
        <v>31</v>
      </c>
      <c r="J70" t="str">
        <f t="shared" si="2"/>
        <v>25–40</v>
      </c>
      <c r="K70" t="s">
        <v>13</v>
      </c>
      <c r="L70">
        <v>5</v>
      </c>
      <c r="M70" t="str">
        <f t="shared" si="3"/>
        <v>Yes</v>
      </c>
      <c r="N70" t="str">
        <f>IF(user_behavior_dataset!$D70&lt;60,"Low",
IF(user_behavior_dataset!$D70&lt;=180,"Medium","High"))</f>
        <v>High</v>
      </c>
      <c r="O70" t="str">
        <f>IF(user_behavior_dataset!$H70&gt;=1341,"Yes","No")</f>
        <v>Yes</v>
      </c>
      <c r="P70" t="str">
        <f>IF(user_behavior_dataset!$F70&gt;=2229,"Yes","No")</f>
        <v>Yes</v>
      </c>
    </row>
    <row r="71" spans="1:16" x14ac:dyDescent="0.3">
      <c r="A71">
        <v>70</v>
      </c>
      <c r="B71" t="s">
        <v>11</v>
      </c>
      <c r="C71" t="s">
        <v>12</v>
      </c>
      <c r="D71">
        <v>82</v>
      </c>
      <c r="E71">
        <v>1.7</v>
      </c>
      <c r="F71">
        <v>558</v>
      </c>
      <c r="G71">
        <v>16</v>
      </c>
      <c r="H71">
        <v>284</v>
      </c>
      <c r="I71">
        <v>29</v>
      </c>
      <c r="J71" t="str">
        <f t="shared" si="2"/>
        <v>25–40</v>
      </c>
      <c r="K71" t="s">
        <v>15</v>
      </c>
      <c r="L71">
        <v>1</v>
      </c>
      <c r="M71" t="str">
        <f t="shared" si="3"/>
        <v>Yes</v>
      </c>
      <c r="N71" t="str">
        <f>IF(user_behavior_dataset!$D71&lt;60,"Low",
IF(user_behavior_dataset!$D71&lt;=180,"Medium","High"))</f>
        <v>Medium</v>
      </c>
      <c r="O71" t="str">
        <f>IF(user_behavior_dataset!$H71&gt;=1341,"Yes","No")</f>
        <v>No</v>
      </c>
      <c r="P71" t="str">
        <f>IF(user_behavior_dataset!$F71&gt;=2229,"Yes","No")</f>
        <v>No</v>
      </c>
    </row>
    <row r="72" spans="1:16" x14ac:dyDescent="0.3">
      <c r="A72">
        <v>71</v>
      </c>
      <c r="B72" t="s">
        <v>19</v>
      </c>
      <c r="C72" t="s">
        <v>12</v>
      </c>
      <c r="D72">
        <v>452</v>
      </c>
      <c r="E72">
        <v>7.2</v>
      </c>
      <c r="F72">
        <v>1808</v>
      </c>
      <c r="G72">
        <v>64</v>
      </c>
      <c r="H72">
        <v>1090</v>
      </c>
      <c r="I72">
        <v>45</v>
      </c>
      <c r="J72" t="str">
        <f t="shared" si="2"/>
        <v>40+</v>
      </c>
      <c r="K72" t="s">
        <v>15</v>
      </c>
      <c r="L72">
        <v>4</v>
      </c>
      <c r="M72" t="str">
        <f t="shared" si="3"/>
        <v>Yes</v>
      </c>
      <c r="N72" t="str">
        <f>IF(user_behavior_dataset!$D72&lt;60,"Low",
IF(user_behavior_dataset!$D72&lt;=180,"Medium","High"))</f>
        <v>High</v>
      </c>
      <c r="O72" t="str">
        <f>IF(user_behavior_dataset!$H72&gt;=1341,"Yes","No")</f>
        <v>No</v>
      </c>
      <c r="P72" t="str">
        <f>IF(user_behavior_dataset!$F72&gt;=2229,"Yes","No")</f>
        <v>No</v>
      </c>
    </row>
    <row r="73" spans="1:16" x14ac:dyDescent="0.3">
      <c r="A73">
        <v>72</v>
      </c>
      <c r="B73" t="s">
        <v>17</v>
      </c>
      <c r="C73" t="s">
        <v>18</v>
      </c>
      <c r="D73">
        <v>521</v>
      </c>
      <c r="E73">
        <v>9</v>
      </c>
      <c r="F73">
        <v>2902</v>
      </c>
      <c r="G73">
        <v>97</v>
      </c>
      <c r="H73">
        <v>1701</v>
      </c>
      <c r="I73">
        <v>37</v>
      </c>
      <c r="J73" t="str">
        <f t="shared" si="2"/>
        <v>25–40</v>
      </c>
      <c r="K73" t="s">
        <v>13</v>
      </c>
      <c r="L73">
        <v>5</v>
      </c>
      <c r="M73" t="str">
        <f t="shared" si="3"/>
        <v>Yes</v>
      </c>
      <c r="N73" t="str">
        <f>IF(user_behavior_dataset!$D73&lt;60,"Low",
IF(user_behavior_dataset!$D73&lt;=180,"Medium","High"))</f>
        <v>High</v>
      </c>
      <c r="O73" t="str">
        <f>IF(user_behavior_dataset!$H73&gt;=1341,"Yes","No")</f>
        <v>Yes</v>
      </c>
      <c r="P73" t="str">
        <f>IF(user_behavior_dataset!$F73&gt;=2229,"Yes","No")</f>
        <v>Yes</v>
      </c>
    </row>
    <row r="74" spans="1:16" x14ac:dyDescent="0.3">
      <c r="A74">
        <v>73</v>
      </c>
      <c r="B74" t="s">
        <v>11</v>
      </c>
      <c r="C74" t="s">
        <v>12</v>
      </c>
      <c r="D74">
        <v>457</v>
      </c>
      <c r="E74">
        <v>6.3</v>
      </c>
      <c r="F74">
        <v>2347</v>
      </c>
      <c r="G74">
        <v>66</v>
      </c>
      <c r="H74">
        <v>1082</v>
      </c>
      <c r="I74">
        <v>22</v>
      </c>
      <c r="J74" t="str">
        <f t="shared" si="2"/>
        <v>&lt;25</v>
      </c>
      <c r="K74" t="s">
        <v>13</v>
      </c>
      <c r="L74">
        <v>4</v>
      </c>
      <c r="M74" t="str">
        <f t="shared" si="3"/>
        <v>Yes</v>
      </c>
      <c r="N74" t="str">
        <f>IF(user_behavior_dataset!$D74&lt;60,"Low",
IF(user_behavior_dataset!$D74&lt;=180,"Medium","High"))</f>
        <v>High</v>
      </c>
      <c r="O74" t="str">
        <f>IF(user_behavior_dataset!$H74&gt;=1341,"Yes","No")</f>
        <v>No</v>
      </c>
      <c r="P74" t="str">
        <f>IF(user_behavior_dataset!$F74&gt;=2229,"Yes","No")</f>
        <v>Yes</v>
      </c>
    </row>
    <row r="75" spans="1:16" x14ac:dyDescent="0.3">
      <c r="A75">
        <v>74</v>
      </c>
      <c r="B75" t="s">
        <v>16</v>
      </c>
      <c r="C75" t="s">
        <v>12</v>
      </c>
      <c r="D75">
        <v>31</v>
      </c>
      <c r="E75">
        <v>1.1000000000000001</v>
      </c>
      <c r="F75">
        <v>585</v>
      </c>
      <c r="G75">
        <v>11</v>
      </c>
      <c r="H75">
        <v>208</v>
      </c>
      <c r="I75">
        <v>50</v>
      </c>
      <c r="J75" t="str">
        <f t="shared" si="2"/>
        <v>40+</v>
      </c>
      <c r="K75" t="s">
        <v>15</v>
      </c>
      <c r="L75">
        <v>1</v>
      </c>
      <c r="M75" t="str">
        <f t="shared" si="3"/>
        <v>No</v>
      </c>
      <c r="N75" t="str">
        <f>IF(user_behavior_dataset!$D75&lt;60,"Low",
IF(user_behavior_dataset!$D75&lt;=180,"Medium","High"))</f>
        <v>Low</v>
      </c>
      <c r="O75" t="str">
        <f>IF(user_behavior_dataset!$H75&gt;=1341,"Yes","No")</f>
        <v>No</v>
      </c>
      <c r="P75" t="str">
        <f>IF(user_behavior_dataset!$F75&gt;=2229,"Yes","No")</f>
        <v>No</v>
      </c>
    </row>
    <row r="76" spans="1:16" x14ac:dyDescent="0.3">
      <c r="A76">
        <v>75</v>
      </c>
      <c r="B76" t="s">
        <v>17</v>
      </c>
      <c r="C76" t="s">
        <v>18</v>
      </c>
      <c r="D76">
        <v>47</v>
      </c>
      <c r="E76">
        <v>2</v>
      </c>
      <c r="F76">
        <v>476</v>
      </c>
      <c r="G76">
        <v>14</v>
      </c>
      <c r="H76">
        <v>125</v>
      </c>
      <c r="I76">
        <v>39</v>
      </c>
      <c r="J76" t="str">
        <f t="shared" si="2"/>
        <v>25–40</v>
      </c>
      <c r="K76" t="s">
        <v>13</v>
      </c>
      <c r="L76">
        <v>1</v>
      </c>
      <c r="M76" t="str">
        <f t="shared" si="3"/>
        <v>No</v>
      </c>
      <c r="N76" t="str">
        <f>IF(user_behavior_dataset!$D76&lt;60,"Low",
IF(user_behavior_dataset!$D76&lt;=180,"Medium","High"))</f>
        <v>Low</v>
      </c>
      <c r="O76" t="str">
        <f>IF(user_behavior_dataset!$H76&gt;=1341,"Yes","No")</f>
        <v>No</v>
      </c>
      <c r="P76" t="str">
        <f>IF(user_behavior_dataset!$F76&gt;=2229,"Yes","No")</f>
        <v>No</v>
      </c>
    </row>
    <row r="77" spans="1:16" x14ac:dyDescent="0.3">
      <c r="A77">
        <v>76</v>
      </c>
      <c r="B77" t="s">
        <v>16</v>
      </c>
      <c r="C77" t="s">
        <v>12</v>
      </c>
      <c r="D77">
        <v>229</v>
      </c>
      <c r="E77">
        <v>5.7</v>
      </c>
      <c r="F77">
        <v>1305</v>
      </c>
      <c r="G77">
        <v>43</v>
      </c>
      <c r="H77">
        <v>985</v>
      </c>
      <c r="I77">
        <v>23</v>
      </c>
      <c r="J77" t="str">
        <f t="shared" si="2"/>
        <v>&lt;25</v>
      </c>
      <c r="K77" t="s">
        <v>15</v>
      </c>
      <c r="L77">
        <v>3</v>
      </c>
      <c r="M77" t="str">
        <f t="shared" si="3"/>
        <v>Yes</v>
      </c>
      <c r="N77" t="str">
        <f>IF(user_behavior_dataset!$D77&lt;60,"Low",
IF(user_behavior_dataset!$D77&lt;=180,"Medium","High"))</f>
        <v>High</v>
      </c>
      <c r="O77" t="str">
        <f>IF(user_behavior_dataset!$H77&gt;=1341,"Yes","No")</f>
        <v>No</v>
      </c>
      <c r="P77" t="str">
        <f>IF(user_behavior_dataset!$F77&gt;=2229,"Yes","No")</f>
        <v>No</v>
      </c>
    </row>
    <row r="78" spans="1:16" x14ac:dyDescent="0.3">
      <c r="A78">
        <v>77</v>
      </c>
      <c r="B78" t="s">
        <v>16</v>
      </c>
      <c r="C78" t="s">
        <v>12</v>
      </c>
      <c r="D78">
        <v>34</v>
      </c>
      <c r="E78">
        <v>2</v>
      </c>
      <c r="F78">
        <v>558</v>
      </c>
      <c r="G78">
        <v>14</v>
      </c>
      <c r="H78">
        <v>122</v>
      </c>
      <c r="I78">
        <v>54</v>
      </c>
      <c r="J78" t="str">
        <f t="shared" si="2"/>
        <v>40+</v>
      </c>
      <c r="K78" t="s">
        <v>15</v>
      </c>
      <c r="L78">
        <v>1</v>
      </c>
      <c r="M78" t="str">
        <f t="shared" si="3"/>
        <v>No</v>
      </c>
      <c r="N78" t="str">
        <f>IF(user_behavior_dataset!$D78&lt;60,"Low",
IF(user_behavior_dataset!$D78&lt;=180,"Medium","High"))</f>
        <v>Low</v>
      </c>
      <c r="O78" t="str">
        <f>IF(user_behavior_dataset!$H78&gt;=1341,"Yes","No")</f>
        <v>No</v>
      </c>
      <c r="P78" t="str">
        <f>IF(user_behavior_dataset!$F78&gt;=2229,"Yes","No")</f>
        <v>No</v>
      </c>
    </row>
    <row r="79" spans="1:16" x14ac:dyDescent="0.3">
      <c r="A79">
        <v>78</v>
      </c>
      <c r="B79" t="s">
        <v>11</v>
      </c>
      <c r="C79" t="s">
        <v>12</v>
      </c>
      <c r="D79">
        <v>173</v>
      </c>
      <c r="E79">
        <v>2.5</v>
      </c>
      <c r="F79">
        <v>678</v>
      </c>
      <c r="G79">
        <v>29</v>
      </c>
      <c r="H79">
        <v>301</v>
      </c>
      <c r="I79">
        <v>30</v>
      </c>
      <c r="J79" t="str">
        <f t="shared" si="2"/>
        <v>25–40</v>
      </c>
      <c r="K79" t="s">
        <v>15</v>
      </c>
      <c r="L79">
        <v>2</v>
      </c>
      <c r="M79" t="str">
        <f t="shared" si="3"/>
        <v>Yes</v>
      </c>
      <c r="N79" t="str">
        <f>IF(user_behavior_dataset!$D79&lt;60,"Low",
IF(user_behavior_dataset!$D79&lt;=180,"Medium","High"))</f>
        <v>Medium</v>
      </c>
      <c r="O79" t="str">
        <f>IF(user_behavior_dataset!$H79&gt;=1341,"Yes","No")</f>
        <v>No</v>
      </c>
      <c r="P79" t="str">
        <f>IF(user_behavior_dataset!$F79&gt;=2229,"Yes","No")</f>
        <v>No</v>
      </c>
    </row>
    <row r="80" spans="1:16" x14ac:dyDescent="0.3">
      <c r="A80">
        <v>79</v>
      </c>
      <c r="B80" t="s">
        <v>19</v>
      </c>
      <c r="C80" t="s">
        <v>12</v>
      </c>
      <c r="D80">
        <v>78</v>
      </c>
      <c r="E80">
        <v>1.8</v>
      </c>
      <c r="F80">
        <v>333</v>
      </c>
      <c r="G80">
        <v>17</v>
      </c>
      <c r="H80">
        <v>138</v>
      </c>
      <c r="I80">
        <v>51</v>
      </c>
      <c r="J80" t="str">
        <f t="shared" si="2"/>
        <v>40+</v>
      </c>
      <c r="K80" t="s">
        <v>15</v>
      </c>
      <c r="L80">
        <v>1</v>
      </c>
      <c r="M80" t="str">
        <f t="shared" si="3"/>
        <v>Yes</v>
      </c>
      <c r="N80" t="str">
        <f>IF(user_behavior_dataset!$D80&lt;60,"Low",
IF(user_behavior_dataset!$D80&lt;=180,"Medium","High"))</f>
        <v>Medium</v>
      </c>
      <c r="O80" t="str">
        <f>IF(user_behavior_dataset!$H80&gt;=1341,"Yes","No")</f>
        <v>No</v>
      </c>
      <c r="P80" t="str">
        <f>IF(user_behavior_dataset!$F80&gt;=2229,"Yes","No")</f>
        <v>No</v>
      </c>
    </row>
    <row r="81" spans="1:16" x14ac:dyDescent="0.3">
      <c r="A81">
        <v>80</v>
      </c>
      <c r="B81" t="s">
        <v>11</v>
      </c>
      <c r="C81" t="s">
        <v>12</v>
      </c>
      <c r="D81">
        <v>230</v>
      </c>
      <c r="E81">
        <v>5.7</v>
      </c>
      <c r="F81">
        <v>1254</v>
      </c>
      <c r="G81">
        <v>52</v>
      </c>
      <c r="H81">
        <v>989</v>
      </c>
      <c r="I81">
        <v>34</v>
      </c>
      <c r="J81" t="str">
        <f t="shared" si="2"/>
        <v>25–40</v>
      </c>
      <c r="K81" t="s">
        <v>15</v>
      </c>
      <c r="L81">
        <v>3</v>
      </c>
      <c r="M81" t="str">
        <f t="shared" si="3"/>
        <v>Yes</v>
      </c>
      <c r="N81" t="str">
        <f>IF(user_behavior_dataset!$D81&lt;60,"Low",
IF(user_behavior_dataset!$D81&lt;=180,"Medium","High"))</f>
        <v>High</v>
      </c>
      <c r="O81" t="str">
        <f>IF(user_behavior_dataset!$H81&gt;=1341,"Yes","No")</f>
        <v>No</v>
      </c>
      <c r="P81" t="str">
        <f>IF(user_behavior_dataset!$F81&gt;=2229,"Yes","No")</f>
        <v>No</v>
      </c>
    </row>
    <row r="82" spans="1:16" x14ac:dyDescent="0.3">
      <c r="A82">
        <v>81</v>
      </c>
      <c r="B82" t="s">
        <v>14</v>
      </c>
      <c r="C82" t="s">
        <v>12</v>
      </c>
      <c r="D82">
        <v>565</v>
      </c>
      <c r="E82">
        <v>10.6</v>
      </c>
      <c r="F82">
        <v>2475</v>
      </c>
      <c r="G82">
        <v>99</v>
      </c>
      <c r="H82">
        <v>1603</v>
      </c>
      <c r="I82">
        <v>51</v>
      </c>
      <c r="J82" t="str">
        <f t="shared" si="2"/>
        <v>40+</v>
      </c>
      <c r="K82" t="s">
        <v>15</v>
      </c>
      <c r="L82">
        <v>5</v>
      </c>
      <c r="M82" t="str">
        <f t="shared" si="3"/>
        <v>Yes</v>
      </c>
      <c r="N82" t="str">
        <f>IF(user_behavior_dataset!$D82&lt;60,"Low",
IF(user_behavior_dataset!$D82&lt;=180,"Medium","High"))</f>
        <v>High</v>
      </c>
      <c r="O82" t="str">
        <f>IF(user_behavior_dataset!$H82&gt;=1341,"Yes","No")</f>
        <v>Yes</v>
      </c>
      <c r="P82" t="str">
        <f>IF(user_behavior_dataset!$F82&gt;=2229,"Yes","No")</f>
        <v>Yes</v>
      </c>
    </row>
    <row r="83" spans="1:16" x14ac:dyDescent="0.3">
      <c r="A83">
        <v>82</v>
      </c>
      <c r="B83" t="s">
        <v>17</v>
      </c>
      <c r="C83" t="s">
        <v>18</v>
      </c>
      <c r="D83">
        <v>172</v>
      </c>
      <c r="E83">
        <v>2.8</v>
      </c>
      <c r="F83">
        <v>1035</v>
      </c>
      <c r="G83">
        <v>22</v>
      </c>
      <c r="H83">
        <v>549</v>
      </c>
      <c r="I83">
        <v>41</v>
      </c>
      <c r="J83" t="str">
        <f t="shared" si="2"/>
        <v>40+</v>
      </c>
      <c r="K83" t="s">
        <v>13</v>
      </c>
      <c r="L83">
        <v>2</v>
      </c>
      <c r="M83" t="str">
        <f t="shared" si="3"/>
        <v>Yes</v>
      </c>
      <c r="N83" t="str">
        <f>IF(user_behavior_dataset!$D83&lt;60,"Low",
IF(user_behavior_dataset!$D83&lt;=180,"Medium","High"))</f>
        <v>Medium</v>
      </c>
      <c r="O83" t="str">
        <f>IF(user_behavior_dataset!$H83&gt;=1341,"Yes","No")</f>
        <v>No</v>
      </c>
      <c r="P83" t="str">
        <f>IF(user_behavior_dataset!$F83&gt;=2229,"Yes","No")</f>
        <v>No</v>
      </c>
    </row>
    <row r="84" spans="1:16" x14ac:dyDescent="0.3">
      <c r="A84">
        <v>83</v>
      </c>
      <c r="B84" t="s">
        <v>16</v>
      </c>
      <c r="C84" t="s">
        <v>12</v>
      </c>
      <c r="D84">
        <v>330</v>
      </c>
      <c r="E84">
        <v>7.2</v>
      </c>
      <c r="F84">
        <v>2363</v>
      </c>
      <c r="G84">
        <v>77</v>
      </c>
      <c r="H84">
        <v>1133</v>
      </c>
      <c r="I84">
        <v>21</v>
      </c>
      <c r="J84" t="str">
        <f t="shared" si="2"/>
        <v>&lt;25</v>
      </c>
      <c r="K84" t="s">
        <v>15</v>
      </c>
      <c r="L84">
        <v>4</v>
      </c>
      <c r="M84" t="str">
        <f t="shared" si="3"/>
        <v>Yes</v>
      </c>
      <c r="N84" t="str">
        <f>IF(user_behavior_dataset!$D84&lt;60,"Low",
IF(user_behavior_dataset!$D84&lt;=180,"Medium","High"))</f>
        <v>High</v>
      </c>
      <c r="O84" t="str">
        <f>IF(user_behavior_dataset!$H84&gt;=1341,"Yes","No")</f>
        <v>No</v>
      </c>
      <c r="P84" t="str">
        <f>IF(user_behavior_dataset!$F84&gt;=2229,"Yes","No")</f>
        <v>Yes</v>
      </c>
    </row>
    <row r="85" spans="1:16" x14ac:dyDescent="0.3">
      <c r="A85">
        <v>84</v>
      </c>
      <c r="B85" t="s">
        <v>16</v>
      </c>
      <c r="C85" t="s">
        <v>12</v>
      </c>
      <c r="D85">
        <v>39</v>
      </c>
      <c r="E85">
        <v>1.8</v>
      </c>
      <c r="F85">
        <v>368</v>
      </c>
      <c r="G85">
        <v>11</v>
      </c>
      <c r="H85">
        <v>105</v>
      </c>
      <c r="I85">
        <v>19</v>
      </c>
      <c r="J85" t="str">
        <f t="shared" si="2"/>
        <v>&lt;25</v>
      </c>
      <c r="K85" t="s">
        <v>13</v>
      </c>
      <c r="L85">
        <v>1</v>
      </c>
      <c r="M85" t="str">
        <f t="shared" si="3"/>
        <v>No</v>
      </c>
      <c r="N85" t="str">
        <f>IF(user_behavior_dataset!$D85&lt;60,"Low",
IF(user_behavior_dataset!$D85&lt;=180,"Medium","High"))</f>
        <v>Low</v>
      </c>
      <c r="O85" t="str">
        <f>IF(user_behavior_dataset!$H85&gt;=1341,"Yes","No")</f>
        <v>No</v>
      </c>
      <c r="P85" t="str">
        <f>IF(user_behavior_dataset!$F85&gt;=2229,"Yes","No")</f>
        <v>No</v>
      </c>
    </row>
    <row r="86" spans="1:16" x14ac:dyDescent="0.3">
      <c r="A86">
        <v>85</v>
      </c>
      <c r="B86" t="s">
        <v>11</v>
      </c>
      <c r="C86" t="s">
        <v>12</v>
      </c>
      <c r="D86">
        <v>223</v>
      </c>
      <c r="E86">
        <v>4.5</v>
      </c>
      <c r="F86">
        <v>1311</v>
      </c>
      <c r="G86">
        <v>56</v>
      </c>
      <c r="H86">
        <v>695</v>
      </c>
      <c r="I86">
        <v>33</v>
      </c>
      <c r="J86" t="str">
        <f t="shared" si="2"/>
        <v>25–40</v>
      </c>
      <c r="K86" t="s">
        <v>15</v>
      </c>
      <c r="L86">
        <v>3</v>
      </c>
      <c r="M86" t="str">
        <f t="shared" si="3"/>
        <v>Yes</v>
      </c>
      <c r="N86" t="str">
        <f>IF(user_behavior_dataset!$D86&lt;60,"Low",
IF(user_behavior_dataset!$D86&lt;=180,"Medium","High"))</f>
        <v>High</v>
      </c>
      <c r="O86" t="str">
        <f>IF(user_behavior_dataset!$H86&gt;=1341,"Yes","No")</f>
        <v>No</v>
      </c>
      <c r="P86" t="str">
        <f>IF(user_behavior_dataset!$F86&gt;=2229,"Yes","No")</f>
        <v>No</v>
      </c>
    </row>
    <row r="87" spans="1:16" x14ac:dyDescent="0.3">
      <c r="A87">
        <v>86</v>
      </c>
      <c r="B87" t="s">
        <v>11</v>
      </c>
      <c r="C87" t="s">
        <v>12</v>
      </c>
      <c r="D87">
        <v>404</v>
      </c>
      <c r="E87">
        <v>7.4</v>
      </c>
      <c r="F87">
        <v>2081</v>
      </c>
      <c r="G87">
        <v>63</v>
      </c>
      <c r="H87">
        <v>1352</v>
      </c>
      <c r="I87">
        <v>44</v>
      </c>
      <c r="J87" t="str">
        <f t="shared" si="2"/>
        <v>40+</v>
      </c>
      <c r="K87" t="s">
        <v>13</v>
      </c>
      <c r="L87">
        <v>4</v>
      </c>
      <c r="M87" t="str">
        <f t="shared" si="3"/>
        <v>Yes</v>
      </c>
      <c r="N87" t="str">
        <f>IF(user_behavior_dataset!$D87&lt;60,"Low",
IF(user_behavior_dataset!$D87&lt;=180,"Medium","High"))</f>
        <v>High</v>
      </c>
      <c r="O87" t="str">
        <f>IF(user_behavior_dataset!$H87&gt;=1341,"Yes","No")</f>
        <v>Yes</v>
      </c>
      <c r="P87" t="str">
        <f>IF(user_behavior_dataset!$F87&gt;=2229,"Yes","No")</f>
        <v>No</v>
      </c>
    </row>
    <row r="88" spans="1:16" x14ac:dyDescent="0.3">
      <c r="A88">
        <v>87</v>
      </c>
      <c r="B88" t="s">
        <v>19</v>
      </c>
      <c r="C88" t="s">
        <v>12</v>
      </c>
      <c r="D88">
        <v>151</v>
      </c>
      <c r="E88">
        <v>2.4</v>
      </c>
      <c r="F88">
        <v>1003</v>
      </c>
      <c r="G88">
        <v>25</v>
      </c>
      <c r="H88">
        <v>392</v>
      </c>
      <c r="I88">
        <v>39</v>
      </c>
      <c r="J88" t="str">
        <f t="shared" si="2"/>
        <v>25–40</v>
      </c>
      <c r="K88" t="s">
        <v>13</v>
      </c>
      <c r="L88">
        <v>2</v>
      </c>
      <c r="M88" t="str">
        <f t="shared" si="3"/>
        <v>Yes</v>
      </c>
      <c r="N88" t="str">
        <f>IF(user_behavior_dataset!$D88&lt;60,"Low",
IF(user_behavior_dataset!$D88&lt;=180,"Medium","High"))</f>
        <v>Medium</v>
      </c>
      <c r="O88" t="str">
        <f>IF(user_behavior_dataset!$H88&gt;=1341,"Yes","No")</f>
        <v>No</v>
      </c>
      <c r="P88" t="str">
        <f>IF(user_behavior_dataset!$F88&gt;=2229,"Yes","No")</f>
        <v>No</v>
      </c>
    </row>
    <row r="89" spans="1:16" x14ac:dyDescent="0.3">
      <c r="A89">
        <v>88</v>
      </c>
      <c r="B89" t="s">
        <v>19</v>
      </c>
      <c r="C89" t="s">
        <v>12</v>
      </c>
      <c r="D89">
        <v>34</v>
      </c>
      <c r="E89">
        <v>1.5</v>
      </c>
      <c r="F89">
        <v>345</v>
      </c>
      <c r="G89">
        <v>11</v>
      </c>
      <c r="H89">
        <v>276</v>
      </c>
      <c r="I89">
        <v>44</v>
      </c>
      <c r="J89" t="str">
        <f t="shared" si="2"/>
        <v>40+</v>
      </c>
      <c r="K89" t="s">
        <v>13</v>
      </c>
      <c r="L89">
        <v>1</v>
      </c>
      <c r="M89" t="str">
        <f t="shared" si="3"/>
        <v>No</v>
      </c>
      <c r="N89" t="str">
        <f>IF(user_behavior_dataset!$D89&lt;60,"Low",
IF(user_behavior_dataset!$D89&lt;=180,"Medium","High"))</f>
        <v>Low</v>
      </c>
      <c r="O89" t="str">
        <f>IF(user_behavior_dataset!$H89&gt;=1341,"Yes","No")</f>
        <v>No</v>
      </c>
      <c r="P89" t="str">
        <f>IF(user_behavior_dataset!$F89&gt;=2229,"Yes","No")</f>
        <v>No</v>
      </c>
    </row>
    <row r="90" spans="1:16" x14ac:dyDescent="0.3">
      <c r="A90">
        <v>89</v>
      </c>
      <c r="B90" t="s">
        <v>16</v>
      </c>
      <c r="C90" t="s">
        <v>12</v>
      </c>
      <c r="D90">
        <v>137</v>
      </c>
      <c r="E90">
        <v>3.3</v>
      </c>
      <c r="F90">
        <v>839</v>
      </c>
      <c r="G90">
        <v>31</v>
      </c>
      <c r="H90">
        <v>348</v>
      </c>
      <c r="I90">
        <v>34</v>
      </c>
      <c r="J90" t="str">
        <f t="shared" si="2"/>
        <v>25–40</v>
      </c>
      <c r="K90" t="s">
        <v>15</v>
      </c>
      <c r="L90">
        <v>2</v>
      </c>
      <c r="M90" t="str">
        <f t="shared" si="3"/>
        <v>Yes</v>
      </c>
      <c r="N90" t="str">
        <f>IF(user_behavior_dataset!$D90&lt;60,"Low",
IF(user_behavior_dataset!$D90&lt;=180,"Medium","High"))</f>
        <v>Medium</v>
      </c>
      <c r="O90" t="str">
        <f>IF(user_behavior_dataset!$H90&gt;=1341,"Yes","No")</f>
        <v>No</v>
      </c>
      <c r="P90" t="str">
        <f>IF(user_behavior_dataset!$F90&gt;=2229,"Yes","No")</f>
        <v>No</v>
      </c>
    </row>
    <row r="91" spans="1:16" x14ac:dyDescent="0.3">
      <c r="A91">
        <v>90</v>
      </c>
      <c r="B91" t="s">
        <v>19</v>
      </c>
      <c r="C91" t="s">
        <v>12</v>
      </c>
      <c r="D91">
        <v>301</v>
      </c>
      <c r="E91">
        <v>6.2</v>
      </c>
      <c r="F91">
        <v>2053</v>
      </c>
      <c r="G91">
        <v>75</v>
      </c>
      <c r="H91">
        <v>1303</v>
      </c>
      <c r="I91">
        <v>45</v>
      </c>
      <c r="J91" t="str">
        <f t="shared" si="2"/>
        <v>40+</v>
      </c>
      <c r="K91" t="s">
        <v>13</v>
      </c>
      <c r="L91">
        <v>4</v>
      </c>
      <c r="M91" t="str">
        <f t="shared" si="3"/>
        <v>Yes</v>
      </c>
      <c r="N91" t="str">
        <f>IF(user_behavior_dataset!$D91&lt;60,"Low",
IF(user_behavior_dataset!$D91&lt;=180,"Medium","High"))</f>
        <v>High</v>
      </c>
      <c r="O91" t="str">
        <f>IF(user_behavior_dataset!$H91&gt;=1341,"Yes","No")</f>
        <v>No</v>
      </c>
      <c r="P91" t="str">
        <f>IF(user_behavior_dataset!$F91&gt;=2229,"Yes","No")</f>
        <v>No</v>
      </c>
    </row>
    <row r="92" spans="1:16" x14ac:dyDescent="0.3">
      <c r="A92">
        <v>91</v>
      </c>
      <c r="B92" t="s">
        <v>11</v>
      </c>
      <c r="C92" t="s">
        <v>12</v>
      </c>
      <c r="D92">
        <v>116</v>
      </c>
      <c r="E92">
        <v>2.1</v>
      </c>
      <c r="F92">
        <v>912</v>
      </c>
      <c r="G92">
        <v>39</v>
      </c>
      <c r="H92">
        <v>307</v>
      </c>
      <c r="I92">
        <v>40</v>
      </c>
      <c r="J92" t="str">
        <f t="shared" si="2"/>
        <v>25–40</v>
      </c>
      <c r="K92" t="s">
        <v>15</v>
      </c>
      <c r="L92">
        <v>2</v>
      </c>
      <c r="M92" t="str">
        <f t="shared" si="3"/>
        <v>Yes</v>
      </c>
      <c r="N92" t="str">
        <f>IF(user_behavior_dataset!$D92&lt;60,"Low",
IF(user_behavior_dataset!$D92&lt;=180,"Medium","High"))</f>
        <v>Medium</v>
      </c>
      <c r="O92" t="str">
        <f>IF(user_behavior_dataset!$H92&gt;=1341,"Yes","No")</f>
        <v>No</v>
      </c>
      <c r="P92" t="str">
        <f>IF(user_behavior_dataset!$F92&gt;=2229,"Yes","No")</f>
        <v>No</v>
      </c>
    </row>
    <row r="93" spans="1:16" x14ac:dyDescent="0.3">
      <c r="A93">
        <v>92</v>
      </c>
      <c r="B93" t="s">
        <v>11</v>
      </c>
      <c r="C93" t="s">
        <v>12</v>
      </c>
      <c r="D93">
        <v>291</v>
      </c>
      <c r="E93">
        <v>4.0999999999999996</v>
      </c>
      <c r="F93">
        <v>1474</v>
      </c>
      <c r="G93">
        <v>46</v>
      </c>
      <c r="H93">
        <v>827</v>
      </c>
      <c r="I93">
        <v>32</v>
      </c>
      <c r="J93" t="str">
        <f t="shared" si="2"/>
        <v>25–40</v>
      </c>
      <c r="K93" t="s">
        <v>15</v>
      </c>
      <c r="L93">
        <v>3</v>
      </c>
      <c r="M93" t="str">
        <f t="shared" si="3"/>
        <v>Yes</v>
      </c>
      <c r="N93" t="str">
        <f>IF(user_behavior_dataset!$D93&lt;60,"Low",
IF(user_behavior_dataset!$D93&lt;=180,"Medium","High"))</f>
        <v>High</v>
      </c>
      <c r="O93" t="str">
        <f>IF(user_behavior_dataset!$H93&gt;=1341,"Yes","No")</f>
        <v>No</v>
      </c>
      <c r="P93" t="str">
        <f>IF(user_behavior_dataset!$F93&gt;=2229,"Yes","No")</f>
        <v>No</v>
      </c>
    </row>
    <row r="94" spans="1:16" x14ac:dyDescent="0.3">
      <c r="A94">
        <v>93</v>
      </c>
      <c r="B94" t="s">
        <v>17</v>
      </c>
      <c r="C94" t="s">
        <v>18</v>
      </c>
      <c r="D94">
        <v>84</v>
      </c>
      <c r="E94">
        <v>1.4</v>
      </c>
      <c r="F94">
        <v>501</v>
      </c>
      <c r="G94">
        <v>16</v>
      </c>
      <c r="H94">
        <v>284</v>
      </c>
      <c r="I94">
        <v>56</v>
      </c>
      <c r="J94" t="str">
        <f t="shared" si="2"/>
        <v>40+</v>
      </c>
      <c r="K94" t="s">
        <v>15</v>
      </c>
      <c r="L94">
        <v>1</v>
      </c>
      <c r="M94" t="str">
        <f t="shared" si="3"/>
        <v>Yes</v>
      </c>
      <c r="N94" t="str">
        <f>IF(user_behavior_dataset!$D94&lt;60,"Low",
IF(user_behavior_dataset!$D94&lt;=180,"Medium","High"))</f>
        <v>Medium</v>
      </c>
      <c r="O94" t="str">
        <f>IF(user_behavior_dataset!$H94&gt;=1341,"Yes","No")</f>
        <v>No</v>
      </c>
      <c r="P94" t="str">
        <f>IF(user_behavior_dataset!$F94&gt;=2229,"Yes","No")</f>
        <v>No</v>
      </c>
    </row>
    <row r="95" spans="1:16" x14ac:dyDescent="0.3">
      <c r="A95">
        <v>94</v>
      </c>
      <c r="B95" t="s">
        <v>17</v>
      </c>
      <c r="C95" t="s">
        <v>18</v>
      </c>
      <c r="D95">
        <v>134</v>
      </c>
      <c r="E95">
        <v>2.5</v>
      </c>
      <c r="F95">
        <v>1125</v>
      </c>
      <c r="G95">
        <v>24</v>
      </c>
      <c r="H95">
        <v>367</v>
      </c>
      <c r="I95">
        <v>35</v>
      </c>
      <c r="J95" t="str">
        <f t="shared" si="2"/>
        <v>25–40</v>
      </c>
      <c r="K95" t="s">
        <v>13</v>
      </c>
      <c r="L95">
        <v>2</v>
      </c>
      <c r="M95" t="str">
        <f t="shared" si="3"/>
        <v>Yes</v>
      </c>
      <c r="N95" t="str">
        <f>IF(user_behavior_dataset!$D95&lt;60,"Low",
IF(user_behavior_dataset!$D95&lt;=180,"Medium","High"))</f>
        <v>Medium</v>
      </c>
      <c r="O95" t="str">
        <f>IF(user_behavior_dataset!$H95&gt;=1341,"Yes","No")</f>
        <v>No</v>
      </c>
      <c r="P95" t="str">
        <f>IF(user_behavior_dataset!$F95&gt;=2229,"Yes","No")</f>
        <v>No</v>
      </c>
    </row>
    <row r="96" spans="1:16" x14ac:dyDescent="0.3">
      <c r="A96">
        <v>95</v>
      </c>
      <c r="B96" t="s">
        <v>19</v>
      </c>
      <c r="C96" t="s">
        <v>12</v>
      </c>
      <c r="D96">
        <v>411</v>
      </c>
      <c r="E96">
        <v>7.5</v>
      </c>
      <c r="F96">
        <v>2169</v>
      </c>
      <c r="G96">
        <v>72</v>
      </c>
      <c r="H96">
        <v>1083</v>
      </c>
      <c r="I96">
        <v>58</v>
      </c>
      <c r="J96" t="str">
        <f t="shared" si="2"/>
        <v>40+</v>
      </c>
      <c r="K96" t="s">
        <v>13</v>
      </c>
      <c r="L96">
        <v>4</v>
      </c>
      <c r="M96" t="str">
        <f t="shared" si="3"/>
        <v>Yes</v>
      </c>
      <c r="N96" t="str">
        <f>IF(user_behavior_dataset!$D96&lt;60,"Low",
IF(user_behavior_dataset!$D96&lt;=180,"Medium","High"))</f>
        <v>High</v>
      </c>
      <c r="O96" t="str">
        <f>IF(user_behavior_dataset!$H96&gt;=1341,"Yes","No")</f>
        <v>No</v>
      </c>
      <c r="P96" t="str">
        <f>IF(user_behavior_dataset!$F96&gt;=2229,"Yes","No")</f>
        <v>No</v>
      </c>
    </row>
    <row r="97" spans="1:16" x14ac:dyDescent="0.3">
      <c r="A97">
        <v>96</v>
      </c>
      <c r="B97" t="s">
        <v>16</v>
      </c>
      <c r="C97" t="s">
        <v>12</v>
      </c>
      <c r="D97">
        <v>326</v>
      </c>
      <c r="E97">
        <v>7.2</v>
      </c>
      <c r="F97">
        <v>2243</v>
      </c>
      <c r="G97">
        <v>73</v>
      </c>
      <c r="H97">
        <v>1454</v>
      </c>
      <c r="I97">
        <v>50</v>
      </c>
      <c r="J97" t="str">
        <f t="shared" si="2"/>
        <v>40+</v>
      </c>
      <c r="K97" t="s">
        <v>13</v>
      </c>
      <c r="L97">
        <v>4</v>
      </c>
      <c r="M97" t="str">
        <f t="shared" si="3"/>
        <v>Yes</v>
      </c>
      <c r="N97" t="str">
        <f>IF(user_behavior_dataset!$D97&lt;60,"Low",
IF(user_behavior_dataset!$D97&lt;=180,"Medium","High"))</f>
        <v>High</v>
      </c>
      <c r="O97" t="str">
        <f>IF(user_behavior_dataset!$H97&gt;=1341,"Yes","No")</f>
        <v>Yes</v>
      </c>
      <c r="P97" t="str">
        <f>IF(user_behavior_dataset!$F97&gt;=2229,"Yes","No")</f>
        <v>Yes</v>
      </c>
    </row>
    <row r="98" spans="1:16" x14ac:dyDescent="0.3">
      <c r="A98">
        <v>97</v>
      </c>
      <c r="B98" t="s">
        <v>17</v>
      </c>
      <c r="C98" t="s">
        <v>18</v>
      </c>
      <c r="D98">
        <v>550</v>
      </c>
      <c r="E98">
        <v>9.5</v>
      </c>
      <c r="F98">
        <v>2916</v>
      </c>
      <c r="G98">
        <v>91</v>
      </c>
      <c r="H98">
        <v>1946</v>
      </c>
      <c r="I98">
        <v>20</v>
      </c>
      <c r="J98" t="str">
        <f t="shared" si="2"/>
        <v>&lt;25</v>
      </c>
      <c r="K98" t="s">
        <v>13</v>
      </c>
      <c r="L98">
        <v>5</v>
      </c>
      <c r="M98" t="str">
        <f t="shared" si="3"/>
        <v>Yes</v>
      </c>
      <c r="N98" t="str">
        <f>IF(user_behavior_dataset!$D98&lt;60,"Low",
IF(user_behavior_dataset!$D98&lt;=180,"Medium","High"))</f>
        <v>High</v>
      </c>
      <c r="O98" t="str">
        <f>IF(user_behavior_dataset!$H98&gt;=1341,"Yes","No")</f>
        <v>Yes</v>
      </c>
      <c r="P98" t="str">
        <f>IF(user_behavior_dataset!$F98&gt;=2229,"Yes","No")</f>
        <v>Yes</v>
      </c>
    </row>
    <row r="99" spans="1:16" x14ac:dyDescent="0.3">
      <c r="A99">
        <v>98</v>
      </c>
      <c r="B99" t="s">
        <v>14</v>
      </c>
      <c r="C99" t="s">
        <v>12</v>
      </c>
      <c r="D99">
        <v>516</v>
      </c>
      <c r="E99">
        <v>12</v>
      </c>
      <c r="F99">
        <v>2406</v>
      </c>
      <c r="G99">
        <v>82</v>
      </c>
      <c r="H99">
        <v>1968</v>
      </c>
      <c r="I99">
        <v>28</v>
      </c>
      <c r="J99" t="str">
        <f t="shared" si="2"/>
        <v>25–40</v>
      </c>
      <c r="K99" t="s">
        <v>15</v>
      </c>
      <c r="L99">
        <v>5</v>
      </c>
      <c r="M99" t="str">
        <f t="shared" si="3"/>
        <v>Yes</v>
      </c>
      <c r="N99" t="str">
        <f>IF(user_behavior_dataset!$D99&lt;60,"Low",
IF(user_behavior_dataset!$D99&lt;=180,"Medium","High"))</f>
        <v>High</v>
      </c>
      <c r="O99" t="str">
        <f>IF(user_behavior_dataset!$H99&gt;=1341,"Yes","No")</f>
        <v>Yes</v>
      </c>
      <c r="P99" t="str">
        <f>IF(user_behavior_dataset!$F99&gt;=2229,"Yes","No")</f>
        <v>Yes</v>
      </c>
    </row>
    <row r="100" spans="1:16" x14ac:dyDescent="0.3">
      <c r="A100">
        <v>99</v>
      </c>
      <c r="B100" t="s">
        <v>11</v>
      </c>
      <c r="C100" t="s">
        <v>12</v>
      </c>
      <c r="D100">
        <v>59</v>
      </c>
      <c r="E100">
        <v>1.2</v>
      </c>
      <c r="F100">
        <v>361</v>
      </c>
      <c r="G100">
        <v>18</v>
      </c>
      <c r="H100">
        <v>293</v>
      </c>
      <c r="I100">
        <v>25</v>
      </c>
      <c r="J100" t="str">
        <f t="shared" si="2"/>
        <v>25–40</v>
      </c>
      <c r="K100" t="s">
        <v>15</v>
      </c>
      <c r="L100">
        <v>1</v>
      </c>
      <c r="M100" t="str">
        <f t="shared" si="3"/>
        <v>No</v>
      </c>
      <c r="N100" t="str">
        <f>IF(user_behavior_dataset!$D100&lt;60,"Low",
IF(user_behavior_dataset!$D100&lt;=180,"Medium","High"))</f>
        <v>Low</v>
      </c>
      <c r="O100" t="str">
        <f>IF(user_behavior_dataset!$H100&gt;=1341,"Yes","No")</f>
        <v>No</v>
      </c>
      <c r="P100" t="str">
        <f>IF(user_behavior_dataset!$F100&gt;=2229,"Yes","No")</f>
        <v>No</v>
      </c>
    </row>
    <row r="101" spans="1:16" x14ac:dyDescent="0.3">
      <c r="A101">
        <v>100</v>
      </c>
      <c r="B101" t="s">
        <v>14</v>
      </c>
      <c r="C101" t="s">
        <v>12</v>
      </c>
      <c r="D101">
        <v>225</v>
      </c>
      <c r="E101">
        <v>5.5</v>
      </c>
      <c r="F101">
        <v>1526</v>
      </c>
      <c r="G101">
        <v>44</v>
      </c>
      <c r="H101">
        <v>875</v>
      </c>
      <c r="I101">
        <v>50</v>
      </c>
      <c r="J101" t="str">
        <f t="shared" si="2"/>
        <v>40+</v>
      </c>
      <c r="K101" t="s">
        <v>15</v>
      </c>
      <c r="L101">
        <v>3</v>
      </c>
      <c r="M101" t="str">
        <f t="shared" si="3"/>
        <v>Yes</v>
      </c>
      <c r="N101" t="str">
        <f>IF(user_behavior_dataset!$D101&lt;60,"Low",
IF(user_behavior_dataset!$D101&lt;=180,"Medium","High"))</f>
        <v>High</v>
      </c>
      <c r="O101" t="str">
        <f>IF(user_behavior_dataset!$H101&gt;=1341,"Yes","No")</f>
        <v>No</v>
      </c>
      <c r="P101" t="str">
        <f>IF(user_behavior_dataset!$F101&gt;=2229,"Yes","No")</f>
        <v>No</v>
      </c>
    </row>
    <row r="102" spans="1:16" x14ac:dyDescent="0.3">
      <c r="A102">
        <v>101</v>
      </c>
      <c r="B102" t="s">
        <v>11</v>
      </c>
      <c r="C102" t="s">
        <v>12</v>
      </c>
      <c r="D102">
        <v>41</v>
      </c>
      <c r="E102">
        <v>1.1000000000000001</v>
      </c>
      <c r="F102">
        <v>389</v>
      </c>
      <c r="G102">
        <v>15</v>
      </c>
      <c r="H102">
        <v>136</v>
      </c>
      <c r="I102">
        <v>53</v>
      </c>
      <c r="J102" t="str">
        <f t="shared" si="2"/>
        <v>40+</v>
      </c>
      <c r="K102" t="s">
        <v>13</v>
      </c>
      <c r="L102">
        <v>1</v>
      </c>
      <c r="M102" t="str">
        <f t="shared" si="3"/>
        <v>No</v>
      </c>
      <c r="N102" t="str">
        <f>IF(user_behavior_dataset!$D102&lt;60,"Low",
IF(user_behavior_dataset!$D102&lt;=180,"Medium","High"))</f>
        <v>Low</v>
      </c>
      <c r="O102" t="str">
        <f>IF(user_behavior_dataset!$H102&gt;=1341,"Yes","No")</f>
        <v>No</v>
      </c>
      <c r="P102" t="str">
        <f>IF(user_behavior_dataset!$F102&gt;=2229,"Yes","No")</f>
        <v>No</v>
      </c>
    </row>
    <row r="103" spans="1:16" x14ac:dyDescent="0.3">
      <c r="A103">
        <v>102</v>
      </c>
      <c r="B103" t="s">
        <v>14</v>
      </c>
      <c r="C103" t="s">
        <v>12</v>
      </c>
      <c r="D103">
        <v>183</v>
      </c>
      <c r="E103">
        <v>4.0999999999999996</v>
      </c>
      <c r="F103">
        <v>1210</v>
      </c>
      <c r="G103">
        <v>45</v>
      </c>
      <c r="H103">
        <v>738</v>
      </c>
      <c r="I103">
        <v>19</v>
      </c>
      <c r="J103" t="str">
        <f t="shared" si="2"/>
        <v>&lt;25</v>
      </c>
      <c r="K103" t="s">
        <v>13</v>
      </c>
      <c r="L103">
        <v>3</v>
      </c>
      <c r="M103" t="str">
        <f t="shared" si="3"/>
        <v>Yes</v>
      </c>
      <c r="N103" t="str">
        <f>IF(user_behavior_dataset!$D103&lt;60,"Low",
IF(user_behavior_dataset!$D103&lt;=180,"Medium","High"))</f>
        <v>High</v>
      </c>
      <c r="O103" t="str">
        <f>IF(user_behavior_dataset!$H103&gt;=1341,"Yes","No")</f>
        <v>No</v>
      </c>
      <c r="P103" t="str">
        <f>IF(user_behavior_dataset!$F103&gt;=2229,"Yes","No")</f>
        <v>No</v>
      </c>
    </row>
    <row r="104" spans="1:16" x14ac:dyDescent="0.3">
      <c r="A104">
        <v>103</v>
      </c>
      <c r="B104" t="s">
        <v>11</v>
      </c>
      <c r="C104" t="s">
        <v>12</v>
      </c>
      <c r="D104">
        <v>174</v>
      </c>
      <c r="E104">
        <v>2.5</v>
      </c>
      <c r="F104">
        <v>929</v>
      </c>
      <c r="G104">
        <v>37</v>
      </c>
      <c r="H104">
        <v>565</v>
      </c>
      <c r="I104">
        <v>32</v>
      </c>
      <c r="J104" t="str">
        <f t="shared" si="2"/>
        <v>25–40</v>
      </c>
      <c r="K104" t="s">
        <v>15</v>
      </c>
      <c r="L104">
        <v>2</v>
      </c>
      <c r="M104" t="str">
        <f t="shared" si="3"/>
        <v>Yes</v>
      </c>
      <c r="N104" t="str">
        <f>IF(user_behavior_dataset!$D104&lt;60,"Low",
IF(user_behavior_dataset!$D104&lt;=180,"Medium","High"))</f>
        <v>Medium</v>
      </c>
      <c r="O104" t="str">
        <f>IF(user_behavior_dataset!$H104&gt;=1341,"Yes","No")</f>
        <v>No</v>
      </c>
      <c r="P104" t="str">
        <f>IF(user_behavior_dataset!$F104&gt;=2229,"Yes","No")</f>
        <v>No</v>
      </c>
    </row>
    <row r="105" spans="1:16" x14ac:dyDescent="0.3">
      <c r="A105">
        <v>104</v>
      </c>
      <c r="B105" t="s">
        <v>16</v>
      </c>
      <c r="C105" t="s">
        <v>12</v>
      </c>
      <c r="D105">
        <v>274</v>
      </c>
      <c r="E105">
        <v>4.2</v>
      </c>
      <c r="F105">
        <v>1781</v>
      </c>
      <c r="G105">
        <v>52</v>
      </c>
      <c r="H105">
        <v>934</v>
      </c>
      <c r="I105">
        <v>28</v>
      </c>
      <c r="J105" t="str">
        <f t="shared" si="2"/>
        <v>25–40</v>
      </c>
      <c r="K105" t="s">
        <v>13</v>
      </c>
      <c r="L105">
        <v>3</v>
      </c>
      <c r="M105" t="str">
        <f t="shared" si="3"/>
        <v>Yes</v>
      </c>
      <c r="N105" t="str">
        <f>IF(user_behavior_dataset!$D105&lt;60,"Low",
IF(user_behavior_dataset!$D105&lt;=180,"Medium","High"))</f>
        <v>High</v>
      </c>
      <c r="O105" t="str">
        <f>IF(user_behavior_dataset!$H105&gt;=1341,"Yes","No")</f>
        <v>No</v>
      </c>
      <c r="P105" t="str">
        <f>IF(user_behavior_dataset!$F105&gt;=2229,"Yes","No")</f>
        <v>No</v>
      </c>
    </row>
    <row r="106" spans="1:16" x14ac:dyDescent="0.3">
      <c r="A106">
        <v>105</v>
      </c>
      <c r="B106" t="s">
        <v>16</v>
      </c>
      <c r="C106" t="s">
        <v>12</v>
      </c>
      <c r="D106">
        <v>166</v>
      </c>
      <c r="E106">
        <v>2.8</v>
      </c>
      <c r="F106">
        <v>1113</v>
      </c>
      <c r="G106">
        <v>28</v>
      </c>
      <c r="H106">
        <v>360</v>
      </c>
      <c r="I106">
        <v>25</v>
      </c>
      <c r="J106" t="str">
        <f t="shared" si="2"/>
        <v>25–40</v>
      </c>
      <c r="K106" t="s">
        <v>13</v>
      </c>
      <c r="L106">
        <v>2</v>
      </c>
      <c r="M106" t="str">
        <f t="shared" si="3"/>
        <v>Yes</v>
      </c>
      <c r="N106" t="str">
        <f>IF(user_behavior_dataset!$D106&lt;60,"Low",
IF(user_behavior_dataset!$D106&lt;=180,"Medium","High"))</f>
        <v>Medium</v>
      </c>
      <c r="O106" t="str">
        <f>IF(user_behavior_dataset!$H106&gt;=1341,"Yes","No")</f>
        <v>No</v>
      </c>
      <c r="P106" t="str">
        <f>IF(user_behavior_dataset!$F106&gt;=2229,"Yes","No")</f>
        <v>No</v>
      </c>
    </row>
    <row r="107" spans="1:16" x14ac:dyDescent="0.3">
      <c r="A107">
        <v>106</v>
      </c>
      <c r="B107" t="s">
        <v>16</v>
      </c>
      <c r="C107" t="s">
        <v>12</v>
      </c>
      <c r="D107">
        <v>66</v>
      </c>
      <c r="E107">
        <v>1.2</v>
      </c>
      <c r="F107">
        <v>585</v>
      </c>
      <c r="G107">
        <v>12</v>
      </c>
      <c r="H107">
        <v>264</v>
      </c>
      <c r="I107">
        <v>36</v>
      </c>
      <c r="J107" t="str">
        <f t="shared" si="2"/>
        <v>25–40</v>
      </c>
      <c r="K107" t="s">
        <v>13</v>
      </c>
      <c r="L107">
        <v>1</v>
      </c>
      <c r="M107" t="str">
        <f t="shared" si="3"/>
        <v>Yes</v>
      </c>
      <c r="N107" t="str">
        <f>IF(user_behavior_dataset!$D107&lt;60,"Low",
IF(user_behavior_dataset!$D107&lt;=180,"Medium","High"))</f>
        <v>Medium</v>
      </c>
      <c r="O107" t="str">
        <f>IF(user_behavior_dataset!$H107&gt;=1341,"Yes","No")</f>
        <v>No</v>
      </c>
      <c r="P107" t="str">
        <f>IF(user_behavior_dataset!$F107&gt;=2229,"Yes","No")</f>
        <v>No</v>
      </c>
    </row>
    <row r="108" spans="1:16" x14ac:dyDescent="0.3">
      <c r="A108">
        <v>107</v>
      </c>
      <c r="B108" t="s">
        <v>11</v>
      </c>
      <c r="C108" t="s">
        <v>12</v>
      </c>
      <c r="D108">
        <v>152</v>
      </c>
      <c r="E108">
        <v>2.7</v>
      </c>
      <c r="F108">
        <v>642</v>
      </c>
      <c r="G108">
        <v>38</v>
      </c>
      <c r="H108">
        <v>596</v>
      </c>
      <c r="I108">
        <v>55</v>
      </c>
      <c r="J108" t="str">
        <f t="shared" si="2"/>
        <v>40+</v>
      </c>
      <c r="K108" t="s">
        <v>13</v>
      </c>
      <c r="L108">
        <v>2</v>
      </c>
      <c r="M108" t="str">
        <f t="shared" si="3"/>
        <v>Yes</v>
      </c>
      <c r="N108" t="str">
        <f>IF(user_behavior_dataset!$D108&lt;60,"Low",
IF(user_behavior_dataset!$D108&lt;=180,"Medium","High"))</f>
        <v>Medium</v>
      </c>
      <c r="O108" t="str">
        <f>IF(user_behavior_dataset!$H108&gt;=1341,"Yes","No")</f>
        <v>No</v>
      </c>
      <c r="P108" t="str">
        <f>IF(user_behavior_dataset!$F108&gt;=2229,"Yes","No")</f>
        <v>No</v>
      </c>
    </row>
    <row r="109" spans="1:16" x14ac:dyDescent="0.3">
      <c r="A109">
        <v>108</v>
      </c>
      <c r="B109" t="s">
        <v>11</v>
      </c>
      <c r="C109" t="s">
        <v>12</v>
      </c>
      <c r="D109">
        <v>54</v>
      </c>
      <c r="E109">
        <v>1.4</v>
      </c>
      <c r="F109">
        <v>403</v>
      </c>
      <c r="G109">
        <v>17</v>
      </c>
      <c r="H109">
        <v>278</v>
      </c>
      <c r="I109">
        <v>23</v>
      </c>
      <c r="J109" t="str">
        <f t="shared" si="2"/>
        <v>&lt;25</v>
      </c>
      <c r="K109" t="s">
        <v>15</v>
      </c>
      <c r="L109">
        <v>1</v>
      </c>
      <c r="M109" t="str">
        <f t="shared" si="3"/>
        <v>No</v>
      </c>
      <c r="N109" t="str">
        <f>IF(user_behavior_dataset!$D109&lt;60,"Low",
IF(user_behavior_dataset!$D109&lt;=180,"Medium","High"))</f>
        <v>Low</v>
      </c>
      <c r="O109" t="str">
        <f>IF(user_behavior_dataset!$H109&gt;=1341,"Yes","No")</f>
        <v>No</v>
      </c>
      <c r="P109" t="str">
        <f>IF(user_behavior_dataset!$F109&gt;=2229,"Yes","No")</f>
        <v>No</v>
      </c>
    </row>
    <row r="110" spans="1:16" x14ac:dyDescent="0.3">
      <c r="A110">
        <v>109</v>
      </c>
      <c r="B110" t="s">
        <v>16</v>
      </c>
      <c r="C110" t="s">
        <v>12</v>
      </c>
      <c r="D110">
        <v>187</v>
      </c>
      <c r="E110">
        <v>5.5</v>
      </c>
      <c r="F110">
        <v>1754</v>
      </c>
      <c r="G110">
        <v>55</v>
      </c>
      <c r="H110">
        <v>711</v>
      </c>
      <c r="I110">
        <v>50</v>
      </c>
      <c r="J110" t="str">
        <f t="shared" si="2"/>
        <v>40+</v>
      </c>
      <c r="K110" t="s">
        <v>15</v>
      </c>
      <c r="L110">
        <v>3</v>
      </c>
      <c r="M110" t="str">
        <f t="shared" si="3"/>
        <v>Yes</v>
      </c>
      <c r="N110" t="str">
        <f>IF(user_behavior_dataset!$D110&lt;60,"Low",
IF(user_behavior_dataset!$D110&lt;=180,"Medium","High"))</f>
        <v>High</v>
      </c>
      <c r="O110" t="str">
        <f>IF(user_behavior_dataset!$H110&gt;=1341,"Yes","No")</f>
        <v>No</v>
      </c>
      <c r="P110" t="str">
        <f>IF(user_behavior_dataset!$F110&gt;=2229,"Yes","No")</f>
        <v>No</v>
      </c>
    </row>
    <row r="111" spans="1:16" x14ac:dyDescent="0.3">
      <c r="A111">
        <v>110</v>
      </c>
      <c r="B111" t="s">
        <v>14</v>
      </c>
      <c r="C111" t="s">
        <v>12</v>
      </c>
      <c r="D111">
        <v>216</v>
      </c>
      <c r="E111">
        <v>6</v>
      </c>
      <c r="F111">
        <v>1641</v>
      </c>
      <c r="G111">
        <v>41</v>
      </c>
      <c r="H111">
        <v>889</v>
      </c>
      <c r="I111">
        <v>39</v>
      </c>
      <c r="J111" t="str">
        <f t="shared" si="2"/>
        <v>25–40</v>
      </c>
      <c r="K111" t="s">
        <v>15</v>
      </c>
      <c r="L111">
        <v>3</v>
      </c>
      <c r="M111" t="str">
        <f t="shared" si="3"/>
        <v>Yes</v>
      </c>
      <c r="N111" t="str">
        <f>IF(user_behavior_dataset!$D111&lt;60,"Low",
IF(user_behavior_dataset!$D111&lt;=180,"Medium","High"))</f>
        <v>High</v>
      </c>
      <c r="O111" t="str">
        <f>IF(user_behavior_dataset!$H111&gt;=1341,"Yes","No")</f>
        <v>No</v>
      </c>
      <c r="P111" t="str">
        <f>IF(user_behavior_dataset!$F111&gt;=2229,"Yes","No")</f>
        <v>No</v>
      </c>
    </row>
    <row r="112" spans="1:16" x14ac:dyDescent="0.3">
      <c r="A112">
        <v>111</v>
      </c>
      <c r="B112" t="s">
        <v>14</v>
      </c>
      <c r="C112" t="s">
        <v>12</v>
      </c>
      <c r="D112">
        <v>95</v>
      </c>
      <c r="E112">
        <v>3.8</v>
      </c>
      <c r="F112">
        <v>718</v>
      </c>
      <c r="G112">
        <v>26</v>
      </c>
      <c r="H112">
        <v>459</v>
      </c>
      <c r="I112">
        <v>41</v>
      </c>
      <c r="J112" t="str">
        <f t="shared" si="2"/>
        <v>40+</v>
      </c>
      <c r="K112" t="s">
        <v>15</v>
      </c>
      <c r="L112">
        <v>2</v>
      </c>
      <c r="M112" t="str">
        <f t="shared" si="3"/>
        <v>Yes</v>
      </c>
      <c r="N112" t="str">
        <f>IF(user_behavior_dataset!$D112&lt;60,"Low",
IF(user_behavior_dataset!$D112&lt;=180,"Medium","High"))</f>
        <v>Medium</v>
      </c>
      <c r="O112" t="str">
        <f>IF(user_behavior_dataset!$H112&gt;=1341,"Yes","No")</f>
        <v>No</v>
      </c>
      <c r="P112" t="str">
        <f>IF(user_behavior_dataset!$F112&gt;=2229,"Yes","No")</f>
        <v>No</v>
      </c>
    </row>
    <row r="113" spans="1:16" x14ac:dyDescent="0.3">
      <c r="A113">
        <v>112</v>
      </c>
      <c r="B113" t="s">
        <v>16</v>
      </c>
      <c r="C113" t="s">
        <v>12</v>
      </c>
      <c r="D113">
        <v>488</v>
      </c>
      <c r="E113">
        <v>8.6</v>
      </c>
      <c r="F113">
        <v>2447</v>
      </c>
      <c r="G113">
        <v>84</v>
      </c>
      <c r="H113">
        <v>2344</v>
      </c>
      <c r="I113">
        <v>19</v>
      </c>
      <c r="J113" t="str">
        <f t="shared" si="2"/>
        <v>&lt;25</v>
      </c>
      <c r="K113" t="s">
        <v>13</v>
      </c>
      <c r="L113">
        <v>5</v>
      </c>
      <c r="M113" t="str">
        <f t="shared" si="3"/>
        <v>Yes</v>
      </c>
      <c r="N113" t="str">
        <f>IF(user_behavior_dataset!$D113&lt;60,"Low",
IF(user_behavior_dataset!$D113&lt;=180,"Medium","High"))</f>
        <v>High</v>
      </c>
      <c r="O113" t="str">
        <f>IF(user_behavior_dataset!$H113&gt;=1341,"Yes","No")</f>
        <v>Yes</v>
      </c>
      <c r="P113" t="str">
        <f>IF(user_behavior_dataset!$F113&gt;=2229,"Yes","No")</f>
        <v>Yes</v>
      </c>
    </row>
    <row r="114" spans="1:16" x14ac:dyDescent="0.3">
      <c r="A114">
        <v>113</v>
      </c>
      <c r="B114" t="s">
        <v>11</v>
      </c>
      <c r="C114" t="s">
        <v>12</v>
      </c>
      <c r="D114">
        <v>295</v>
      </c>
      <c r="E114">
        <v>5.0999999999999996</v>
      </c>
      <c r="F114">
        <v>1483</v>
      </c>
      <c r="G114">
        <v>45</v>
      </c>
      <c r="H114">
        <v>748</v>
      </c>
      <c r="I114">
        <v>27</v>
      </c>
      <c r="J114" t="str">
        <f t="shared" si="2"/>
        <v>25–40</v>
      </c>
      <c r="K114" t="s">
        <v>15</v>
      </c>
      <c r="L114">
        <v>3</v>
      </c>
      <c r="M114" t="str">
        <f t="shared" si="3"/>
        <v>Yes</v>
      </c>
      <c r="N114" t="str">
        <f>IF(user_behavior_dataset!$D114&lt;60,"Low",
IF(user_behavior_dataset!$D114&lt;=180,"Medium","High"))</f>
        <v>High</v>
      </c>
      <c r="O114" t="str">
        <f>IF(user_behavior_dataset!$H114&gt;=1341,"Yes","No")</f>
        <v>No</v>
      </c>
      <c r="P114" t="str">
        <f>IF(user_behavior_dataset!$F114&gt;=2229,"Yes","No")</f>
        <v>No</v>
      </c>
    </row>
    <row r="115" spans="1:16" x14ac:dyDescent="0.3">
      <c r="A115">
        <v>114</v>
      </c>
      <c r="B115" t="s">
        <v>19</v>
      </c>
      <c r="C115" t="s">
        <v>12</v>
      </c>
      <c r="D115">
        <v>136</v>
      </c>
      <c r="E115">
        <v>3.2</v>
      </c>
      <c r="F115">
        <v>818</v>
      </c>
      <c r="G115">
        <v>33</v>
      </c>
      <c r="H115">
        <v>404</v>
      </c>
      <c r="I115">
        <v>42</v>
      </c>
      <c r="J115" t="str">
        <f t="shared" si="2"/>
        <v>40+</v>
      </c>
      <c r="K115" t="s">
        <v>13</v>
      </c>
      <c r="L115">
        <v>2</v>
      </c>
      <c r="M115" t="str">
        <f t="shared" si="3"/>
        <v>Yes</v>
      </c>
      <c r="N115" t="str">
        <f>IF(user_behavior_dataset!$D115&lt;60,"Low",
IF(user_behavior_dataset!$D115&lt;=180,"Medium","High"))</f>
        <v>Medium</v>
      </c>
      <c r="O115" t="str">
        <f>IF(user_behavior_dataset!$H115&gt;=1341,"Yes","No")</f>
        <v>No</v>
      </c>
      <c r="P115" t="str">
        <f>IF(user_behavior_dataset!$F115&gt;=2229,"Yes","No")</f>
        <v>No</v>
      </c>
    </row>
    <row r="116" spans="1:16" x14ac:dyDescent="0.3">
      <c r="A116">
        <v>115</v>
      </c>
      <c r="B116" t="s">
        <v>16</v>
      </c>
      <c r="C116" t="s">
        <v>12</v>
      </c>
      <c r="D116">
        <v>471</v>
      </c>
      <c r="E116">
        <v>7.9</v>
      </c>
      <c r="F116">
        <v>2156</v>
      </c>
      <c r="G116">
        <v>76</v>
      </c>
      <c r="H116">
        <v>1324</v>
      </c>
      <c r="I116">
        <v>54</v>
      </c>
      <c r="J116" t="str">
        <f t="shared" si="2"/>
        <v>40+</v>
      </c>
      <c r="K116" t="s">
        <v>15</v>
      </c>
      <c r="L116">
        <v>4</v>
      </c>
      <c r="M116" t="str">
        <f t="shared" si="3"/>
        <v>Yes</v>
      </c>
      <c r="N116" t="str">
        <f>IF(user_behavior_dataset!$D116&lt;60,"Low",
IF(user_behavior_dataset!$D116&lt;=180,"Medium","High"))</f>
        <v>High</v>
      </c>
      <c r="O116" t="str">
        <f>IF(user_behavior_dataset!$H116&gt;=1341,"Yes","No")</f>
        <v>No</v>
      </c>
      <c r="P116" t="str">
        <f>IF(user_behavior_dataset!$F116&gt;=2229,"Yes","No")</f>
        <v>No</v>
      </c>
    </row>
    <row r="117" spans="1:16" x14ac:dyDescent="0.3">
      <c r="A117">
        <v>116</v>
      </c>
      <c r="B117" t="s">
        <v>17</v>
      </c>
      <c r="C117" t="s">
        <v>18</v>
      </c>
      <c r="D117">
        <v>121</v>
      </c>
      <c r="E117">
        <v>3.2</v>
      </c>
      <c r="F117">
        <v>651</v>
      </c>
      <c r="G117">
        <v>34</v>
      </c>
      <c r="H117">
        <v>596</v>
      </c>
      <c r="I117">
        <v>39</v>
      </c>
      <c r="J117" t="str">
        <f t="shared" si="2"/>
        <v>25–40</v>
      </c>
      <c r="K117" t="s">
        <v>13</v>
      </c>
      <c r="L117">
        <v>2</v>
      </c>
      <c r="M117" t="str">
        <f t="shared" si="3"/>
        <v>Yes</v>
      </c>
      <c r="N117" t="str">
        <f>IF(user_behavior_dataset!$D117&lt;60,"Low",
IF(user_behavior_dataset!$D117&lt;=180,"Medium","High"))</f>
        <v>Medium</v>
      </c>
      <c r="O117" t="str">
        <f>IF(user_behavior_dataset!$H117&gt;=1341,"Yes","No")</f>
        <v>No</v>
      </c>
      <c r="P117" t="str">
        <f>IF(user_behavior_dataset!$F117&gt;=2229,"Yes","No")</f>
        <v>No</v>
      </c>
    </row>
    <row r="118" spans="1:16" x14ac:dyDescent="0.3">
      <c r="A118">
        <v>117</v>
      </c>
      <c r="B118" t="s">
        <v>17</v>
      </c>
      <c r="C118" t="s">
        <v>18</v>
      </c>
      <c r="D118">
        <v>75</v>
      </c>
      <c r="E118">
        <v>1.2</v>
      </c>
      <c r="F118">
        <v>409</v>
      </c>
      <c r="G118">
        <v>13</v>
      </c>
      <c r="H118">
        <v>281</v>
      </c>
      <c r="I118">
        <v>18</v>
      </c>
      <c r="J118" t="str">
        <f t="shared" si="2"/>
        <v>&lt;25</v>
      </c>
      <c r="K118" t="s">
        <v>13</v>
      </c>
      <c r="L118">
        <v>1</v>
      </c>
      <c r="M118" t="str">
        <f t="shared" si="3"/>
        <v>Yes</v>
      </c>
      <c r="N118" t="str">
        <f>IF(user_behavior_dataset!$D118&lt;60,"Low",
IF(user_behavior_dataset!$D118&lt;=180,"Medium","High"))</f>
        <v>Medium</v>
      </c>
      <c r="O118" t="str">
        <f>IF(user_behavior_dataset!$H118&gt;=1341,"Yes","No")</f>
        <v>No</v>
      </c>
      <c r="P118" t="str">
        <f>IF(user_behavior_dataset!$F118&gt;=2229,"Yes","No")</f>
        <v>No</v>
      </c>
    </row>
    <row r="119" spans="1:16" x14ac:dyDescent="0.3">
      <c r="A119">
        <v>118</v>
      </c>
      <c r="B119" t="s">
        <v>17</v>
      </c>
      <c r="C119" t="s">
        <v>18</v>
      </c>
      <c r="D119">
        <v>220</v>
      </c>
      <c r="E119">
        <v>5.2</v>
      </c>
      <c r="F119">
        <v>1631</v>
      </c>
      <c r="G119">
        <v>49</v>
      </c>
      <c r="H119">
        <v>909</v>
      </c>
      <c r="I119">
        <v>27</v>
      </c>
      <c r="J119" t="str">
        <f t="shared" si="2"/>
        <v>25–40</v>
      </c>
      <c r="K119" t="s">
        <v>15</v>
      </c>
      <c r="L119">
        <v>3</v>
      </c>
      <c r="M119" t="str">
        <f t="shared" si="3"/>
        <v>Yes</v>
      </c>
      <c r="N119" t="str">
        <f>IF(user_behavior_dataset!$D119&lt;60,"Low",
IF(user_behavior_dataset!$D119&lt;=180,"Medium","High"))</f>
        <v>High</v>
      </c>
      <c r="O119" t="str">
        <f>IF(user_behavior_dataset!$H119&gt;=1341,"Yes","No")</f>
        <v>No</v>
      </c>
      <c r="P119" t="str">
        <f>IF(user_behavior_dataset!$F119&gt;=2229,"Yes","No")</f>
        <v>No</v>
      </c>
    </row>
    <row r="120" spans="1:16" x14ac:dyDescent="0.3">
      <c r="A120">
        <v>119</v>
      </c>
      <c r="B120" t="s">
        <v>19</v>
      </c>
      <c r="C120" t="s">
        <v>12</v>
      </c>
      <c r="D120">
        <v>82</v>
      </c>
      <c r="E120">
        <v>1.6</v>
      </c>
      <c r="F120">
        <v>590</v>
      </c>
      <c r="G120">
        <v>13</v>
      </c>
      <c r="H120">
        <v>124</v>
      </c>
      <c r="I120">
        <v>28</v>
      </c>
      <c r="J120" t="str">
        <f t="shared" si="2"/>
        <v>25–40</v>
      </c>
      <c r="K120" t="s">
        <v>15</v>
      </c>
      <c r="L120">
        <v>1</v>
      </c>
      <c r="M120" t="str">
        <f t="shared" si="3"/>
        <v>Yes</v>
      </c>
      <c r="N120" t="str">
        <f>IF(user_behavior_dataset!$D120&lt;60,"Low",
IF(user_behavior_dataset!$D120&lt;=180,"Medium","High"))</f>
        <v>Medium</v>
      </c>
      <c r="O120" t="str">
        <f>IF(user_behavior_dataset!$H120&gt;=1341,"Yes","No")</f>
        <v>No</v>
      </c>
      <c r="P120" t="str">
        <f>IF(user_behavior_dataset!$F120&gt;=2229,"Yes","No")</f>
        <v>No</v>
      </c>
    </row>
    <row r="121" spans="1:16" x14ac:dyDescent="0.3">
      <c r="A121">
        <v>120</v>
      </c>
      <c r="B121" t="s">
        <v>11</v>
      </c>
      <c r="C121" t="s">
        <v>12</v>
      </c>
      <c r="D121">
        <v>97</v>
      </c>
      <c r="E121">
        <v>2.7</v>
      </c>
      <c r="F121">
        <v>1018</v>
      </c>
      <c r="G121">
        <v>37</v>
      </c>
      <c r="H121">
        <v>428</v>
      </c>
      <c r="I121">
        <v>41</v>
      </c>
      <c r="J121" t="str">
        <f t="shared" si="2"/>
        <v>40+</v>
      </c>
      <c r="K121" t="s">
        <v>13</v>
      </c>
      <c r="L121">
        <v>2</v>
      </c>
      <c r="M121" t="str">
        <f t="shared" si="3"/>
        <v>Yes</v>
      </c>
      <c r="N121" t="str">
        <f>IF(user_behavior_dataset!$D121&lt;60,"Low",
IF(user_behavior_dataset!$D121&lt;=180,"Medium","High"))</f>
        <v>Medium</v>
      </c>
      <c r="O121" t="str">
        <f>IF(user_behavior_dataset!$H121&gt;=1341,"Yes","No")</f>
        <v>No</v>
      </c>
      <c r="P121" t="str">
        <f>IF(user_behavior_dataset!$F121&gt;=2229,"Yes","No")</f>
        <v>No</v>
      </c>
    </row>
    <row r="122" spans="1:16" x14ac:dyDescent="0.3">
      <c r="A122">
        <v>121</v>
      </c>
      <c r="B122" t="s">
        <v>19</v>
      </c>
      <c r="C122" t="s">
        <v>12</v>
      </c>
      <c r="D122">
        <v>388</v>
      </c>
      <c r="E122">
        <v>6.6</v>
      </c>
      <c r="F122">
        <v>2085</v>
      </c>
      <c r="G122">
        <v>71</v>
      </c>
      <c r="H122">
        <v>1150</v>
      </c>
      <c r="I122">
        <v>45</v>
      </c>
      <c r="J122" t="str">
        <f t="shared" si="2"/>
        <v>40+</v>
      </c>
      <c r="K122" t="s">
        <v>15</v>
      </c>
      <c r="L122">
        <v>4</v>
      </c>
      <c r="M122" t="str">
        <f t="shared" si="3"/>
        <v>Yes</v>
      </c>
      <c r="N122" t="str">
        <f>IF(user_behavior_dataset!$D122&lt;60,"Low",
IF(user_behavior_dataset!$D122&lt;=180,"Medium","High"))</f>
        <v>High</v>
      </c>
      <c r="O122" t="str">
        <f>IF(user_behavior_dataset!$H122&gt;=1341,"Yes","No")</f>
        <v>No</v>
      </c>
      <c r="P122" t="str">
        <f>IF(user_behavior_dataset!$F122&gt;=2229,"Yes","No")</f>
        <v>No</v>
      </c>
    </row>
    <row r="123" spans="1:16" x14ac:dyDescent="0.3">
      <c r="A123">
        <v>122</v>
      </c>
      <c r="B123" t="s">
        <v>14</v>
      </c>
      <c r="C123" t="s">
        <v>12</v>
      </c>
      <c r="D123">
        <v>529</v>
      </c>
      <c r="E123">
        <v>8.6999999999999993</v>
      </c>
      <c r="F123">
        <v>2484</v>
      </c>
      <c r="G123">
        <v>89</v>
      </c>
      <c r="H123">
        <v>2189</v>
      </c>
      <c r="I123">
        <v>39</v>
      </c>
      <c r="J123" t="str">
        <f t="shared" si="2"/>
        <v>25–40</v>
      </c>
      <c r="K123" t="s">
        <v>15</v>
      </c>
      <c r="L123">
        <v>5</v>
      </c>
      <c r="M123" t="str">
        <f t="shared" si="3"/>
        <v>Yes</v>
      </c>
      <c r="N123" t="str">
        <f>IF(user_behavior_dataset!$D123&lt;60,"Low",
IF(user_behavior_dataset!$D123&lt;=180,"Medium","High"))</f>
        <v>High</v>
      </c>
      <c r="O123" t="str">
        <f>IF(user_behavior_dataset!$H123&gt;=1341,"Yes","No")</f>
        <v>Yes</v>
      </c>
      <c r="P123" t="str">
        <f>IF(user_behavior_dataset!$F123&gt;=2229,"Yes","No")</f>
        <v>Yes</v>
      </c>
    </row>
    <row r="124" spans="1:16" x14ac:dyDescent="0.3">
      <c r="A124">
        <v>123</v>
      </c>
      <c r="B124" t="s">
        <v>11</v>
      </c>
      <c r="C124" t="s">
        <v>12</v>
      </c>
      <c r="D124">
        <v>584</v>
      </c>
      <c r="E124">
        <v>10</v>
      </c>
      <c r="F124">
        <v>2541</v>
      </c>
      <c r="G124">
        <v>99</v>
      </c>
      <c r="H124">
        <v>2391</v>
      </c>
      <c r="I124">
        <v>49</v>
      </c>
      <c r="J124" t="str">
        <f t="shared" si="2"/>
        <v>40+</v>
      </c>
      <c r="K124" t="s">
        <v>15</v>
      </c>
      <c r="L124">
        <v>5</v>
      </c>
      <c r="M124" t="str">
        <f t="shared" si="3"/>
        <v>Yes</v>
      </c>
      <c r="N124" t="str">
        <f>IF(user_behavior_dataset!$D124&lt;60,"Low",
IF(user_behavior_dataset!$D124&lt;=180,"Medium","High"))</f>
        <v>High</v>
      </c>
      <c r="O124" t="str">
        <f>IF(user_behavior_dataset!$H124&gt;=1341,"Yes","No")</f>
        <v>Yes</v>
      </c>
      <c r="P124" t="str">
        <f>IF(user_behavior_dataset!$F124&gt;=2229,"Yes","No")</f>
        <v>Yes</v>
      </c>
    </row>
    <row r="125" spans="1:16" x14ac:dyDescent="0.3">
      <c r="A125">
        <v>124</v>
      </c>
      <c r="B125" t="s">
        <v>11</v>
      </c>
      <c r="C125" t="s">
        <v>12</v>
      </c>
      <c r="D125">
        <v>529</v>
      </c>
      <c r="E125">
        <v>8.1</v>
      </c>
      <c r="F125">
        <v>2686</v>
      </c>
      <c r="G125">
        <v>96</v>
      </c>
      <c r="H125">
        <v>1924</v>
      </c>
      <c r="I125">
        <v>35</v>
      </c>
      <c r="J125" t="str">
        <f t="shared" si="2"/>
        <v>25–40</v>
      </c>
      <c r="K125" t="s">
        <v>13</v>
      </c>
      <c r="L125">
        <v>5</v>
      </c>
      <c r="M125" t="str">
        <f t="shared" si="3"/>
        <v>Yes</v>
      </c>
      <c r="N125" t="str">
        <f>IF(user_behavior_dataset!$D125&lt;60,"Low",
IF(user_behavior_dataset!$D125&lt;=180,"Medium","High"))</f>
        <v>High</v>
      </c>
      <c r="O125" t="str">
        <f>IF(user_behavior_dataset!$H125&gt;=1341,"Yes","No")</f>
        <v>Yes</v>
      </c>
      <c r="P125" t="str">
        <f>IF(user_behavior_dataset!$F125&gt;=2229,"Yes","No")</f>
        <v>Yes</v>
      </c>
    </row>
    <row r="126" spans="1:16" x14ac:dyDescent="0.3">
      <c r="A126">
        <v>125</v>
      </c>
      <c r="B126" t="s">
        <v>11</v>
      </c>
      <c r="C126" t="s">
        <v>12</v>
      </c>
      <c r="D126">
        <v>227</v>
      </c>
      <c r="E126">
        <v>5.0999999999999996</v>
      </c>
      <c r="F126">
        <v>1702</v>
      </c>
      <c r="G126">
        <v>57</v>
      </c>
      <c r="H126">
        <v>714</v>
      </c>
      <c r="I126">
        <v>21</v>
      </c>
      <c r="J126" t="str">
        <f t="shared" si="2"/>
        <v>&lt;25</v>
      </c>
      <c r="K126" t="s">
        <v>13</v>
      </c>
      <c r="L126">
        <v>3</v>
      </c>
      <c r="M126" t="str">
        <f t="shared" si="3"/>
        <v>Yes</v>
      </c>
      <c r="N126" t="str">
        <f>IF(user_behavior_dataset!$D126&lt;60,"Low",
IF(user_behavior_dataset!$D126&lt;=180,"Medium","High"))</f>
        <v>High</v>
      </c>
      <c r="O126" t="str">
        <f>IF(user_behavior_dataset!$H126&gt;=1341,"Yes","No")</f>
        <v>No</v>
      </c>
      <c r="P126" t="str">
        <f>IF(user_behavior_dataset!$F126&gt;=2229,"Yes","No")</f>
        <v>No</v>
      </c>
    </row>
    <row r="127" spans="1:16" x14ac:dyDescent="0.3">
      <c r="A127">
        <v>126</v>
      </c>
      <c r="B127" t="s">
        <v>19</v>
      </c>
      <c r="C127" t="s">
        <v>12</v>
      </c>
      <c r="D127">
        <v>535</v>
      </c>
      <c r="E127">
        <v>11.8</v>
      </c>
      <c r="F127">
        <v>2858</v>
      </c>
      <c r="G127">
        <v>99</v>
      </c>
      <c r="H127">
        <v>2378</v>
      </c>
      <c r="I127">
        <v>50</v>
      </c>
      <c r="J127" t="str">
        <f t="shared" si="2"/>
        <v>40+</v>
      </c>
      <c r="K127" t="s">
        <v>13</v>
      </c>
      <c r="L127">
        <v>5</v>
      </c>
      <c r="M127" t="str">
        <f t="shared" si="3"/>
        <v>Yes</v>
      </c>
      <c r="N127" t="str">
        <f>IF(user_behavior_dataset!$D127&lt;60,"Low",
IF(user_behavior_dataset!$D127&lt;=180,"Medium","High"))</f>
        <v>High</v>
      </c>
      <c r="O127" t="str">
        <f>IF(user_behavior_dataset!$H127&gt;=1341,"Yes","No")</f>
        <v>Yes</v>
      </c>
      <c r="P127" t="str">
        <f>IF(user_behavior_dataset!$F127&gt;=2229,"Yes","No")</f>
        <v>Yes</v>
      </c>
    </row>
    <row r="128" spans="1:16" x14ac:dyDescent="0.3">
      <c r="A128">
        <v>127</v>
      </c>
      <c r="B128" t="s">
        <v>17</v>
      </c>
      <c r="C128" t="s">
        <v>18</v>
      </c>
      <c r="D128">
        <v>332</v>
      </c>
      <c r="E128">
        <v>7.4</v>
      </c>
      <c r="F128">
        <v>2149</v>
      </c>
      <c r="G128">
        <v>68</v>
      </c>
      <c r="H128">
        <v>1321</v>
      </c>
      <c r="I128">
        <v>20</v>
      </c>
      <c r="J128" t="str">
        <f t="shared" si="2"/>
        <v>&lt;25</v>
      </c>
      <c r="K128" t="s">
        <v>15</v>
      </c>
      <c r="L128">
        <v>4</v>
      </c>
      <c r="M128" t="str">
        <f t="shared" si="3"/>
        <v>Yes</v>
      </c>
      <c r="N128" t="str">
        <f>IF(user_behavior_dataset!$D128&lt;60,"Low",
IF(user_behavior_dataset!$D128&lt;=180,"Medium","High"))</f>
        <v>High</v>
      </c>
      <c r="O128" t="str">
        <f>IF(user_behavior_dataset!$H128&gt;=1341,"Yes","No")</f>
        <v>No</v>
      </c>
      <c r="P128" t="str">
        <f>IF(user_behavior_dataset!$F128&gt;=2229,"Yes","No")</f>
        <v>No</v>
      </c>
    </row>
    <row r="129" spans="1:16" x14ac:dyDescent="0.3">
      <c r="A129">
        <v>128</v>
      </c>
      <c r="B129" t="s">
        <v>11</v>
      </c>
      <c r="C129" t="s">
        <v>12</v>
      </c>
      <c r="D129">
        <v>252</v>
      </c>
      <c r="E129">
        <v>4.2</v>
      </c>
      <c r="F129">
        <v>1439</v>
      </c>
      <c r="G129">
        <v>45</v>
      </c>
      <c r="H129">
        <v>667</v>
      </c>
      <c r="I129">
        <v>50</v>
      </c>
      <c r="J129" t="str">
        <f t="shared" si="2"/>
        <v>40+</v>
      </c>
      <c r="K129" t="s">
        <v>15</v>
      </c>
      <c r="L129">
        <v>3</v>
      </c>
      <c r="M129" t="str">
        <f t="shared" si="3"/>
        <v>Yes</v>
      </c>
      <c r="N129" t="str">
        <f>IF(user_behavior_dataset!$D129&lt;60,"Low",
IF(user_behavior_dataset!$D129&lt;=180,"Medium","High"))</f>
        <v>High</v>
      </c>
      <c r="O129" t="str">
        <f>IF(user_behavior_dataset!$H129&gt;=1341,"Yes","No")</f>
        <v>No</v>
      </c>
      <c r="P129" t="str">
        <f>IF(user_behavior_dataset!$F129&gt;=2229,"Yes","No")</f>
        <v>No</v>
      </c>
    </row>
    <row r="130" spans="1:16" x14ac:dyDescent="0.3">
      <c r="A130">
        <v>129</v>
      </c>
      <c r="B130" t="s">
        <v>16</v>
      </c>
      <c r="C130" t="s">
        <v>12</v>
      </c>
      <c r="D130">
        <v>125</v>
      </c>
      <c r="E130">
        <v>2.5</v>
      </c>
      <c r="F130">
        <v>678</v>
      </c>
      <c r="G130">
        <v>34</v>
      </c>
      <c r="H130">
        <v>465</v>
      </c>
      <c r="I130">
        <v>31</v>
      </c>
      <c r="J130" t="str">
        <f t="shared" si="2"/>
        <v>25–40</v>
      </c>
      <c r="K130" t="s">
        <v>13</v>
      </c>
      <c r="L130">
        <v>2</v>
      </c>
      <c r="M130" t="str">
        <f t="shared" si="3"/>
        <v>Yes</v>
      </c>
      <c r="N130" t="str">
        <f>IF(user_behavior_dataset!$D130&lt;60,"Low",
IF(user_behavior_dataset!$D130&lt;=180,"Medium","High"))</f>
        <v>Medium</v>
      </c>
      <c r="O130" t="str">
        <f>IF(user_behavior_dataset!$H130&gt;=1341,"Yes","No")</f>
        <v>No</v>
      </c>
      <c r="P130" t="str">
        <f>IF(user_behavior_dataset!$F130&gt;=2229,"Yes","No")</f>
        <v>No</v>
      </c>
    </row>
    <row r="131" spans="1:16" x14ac:dyDescent="0.3">
      <c r="A131">
        <v>130</v>
      </c>
      <c r="B131" t="s">
        <v>16</v>
      </c>
      <c r="C131" t="s">
        <v>12</v>
      </c>
      <c r="D131">
        <v>97</v>
      </c>
      <c r="E131">
        <v>3.3</v>
      </c>
      <c r="F131">
        <v>751</v>
      </c>
      <c r="G131">
        <v>39</v>
      </c>
      <c r="H131">
        <v>412</v>
      </c>
      <c r="I131">
        <v>36</v>
      </c>
      <c r="J131" t="str">
        <f t="shared" ref="J131:J194" si="4">IF(I131="","Unknown",IF(I131&lt;25,"&lt;25",IF(I131&lt;=40,"25–40","40+")))</f>
        <v>25–40</v>
      </c>
      <c r="K131" t="s">
        <v>15</v>
      </c>
      <c r="L131">
        <v>2</v>
      </c>
      <c r="M131" t="str">
        <f t="shared" ref="M131:M194" si="5">IF(D131&gt;=60,"Yes","No")</f>
        <v>Yes</v>
      </c>
      <c r="N131" t="str">
        <f>IF(user_behavior_dataset!$D131&lt;60,"Low",
IF(user_behavior_dataset!$D131&lt;=180,"Medium","High"))</f>
        <v>Medium</v>
      </c>
      <c r="O131" t="str">
        <f>IF(user_behavior_dataset!$H131&gt;=1341,"Yes","No")</f>
        <v>No</v>
      </c>
      <c r="P131" t="str">
        <f>IF(user_behavior_dataset!$F131&gt;=2229,"Yes","No")</f>
        <v>No</v>
      </c>
    </row>
    <row r="132" spans="1:16" x14ac:dyDescent="0.3">
      <c r="A132">
        <v>131</v>
      </c>
      <c r="B132" t="s">
        <v>11</v>
      </c>
      <c r="C132" t="s">
        <v>12</v>
      </c>
      <c r="D132">
        <v>540</v>
      </c>
      <c r="E132">
        <v>10.8</v>
      </c>
      <c r="F132">
        <v>2923</v>
      </c>
      <c r="G132">
        <v>90</v>
      </c>
      <c r="H132">
        <v>1886</v>
      </c>
      <c r="I132">
        <v>40</v>
      </c>
      <c r="J132" t="str">
        <f t="shared" si="4"/>
        <v>25–40</v>
      </c>
      <c r="K132" t="s">
        <v>13</v>
      </c>
      <c r="L132">
        <v>5</v>
      </c>
      <c r="M132" t="str">
        <f t="shared" si="5"/>
        <v>Yes</v>
      </c>
      <c r="N132" t="str">
        <f>IF(user_behavior_dataset!$D132&lt;60,"Low",
IF(user_behavior_dataset!$D132&lt;=180,"Medium","High"))</f>
        <v>High</v>
      </c>
      <c r="O132" t="str">
        <f>IF(user_behavior_dataset!$H132&gt;=1341,"Yes","No")</f>
        <v>Yes</v>
      </c>
      <c r="P132" t="str">
        <f>IF(user_behavior_dataset!$F132&gt;=2229,"Yes","No")</f>
        <v>Yes</v>
      </c>
    </row>
    <row r="133" spans="1:16" x14ac:dyDescent="0.3">
      <c r="A133">
        <v>132</v>
      </c>
      <c r="B133" t="s">
        <v>16</v>
      </c>
      <c r="C133" t="s">
        <v>12</v>
      </c>
      <c r="D133">
        <v>320</v>
      </c>
      <c r="E133">
        <v>7.2</v>
      </c>
      <c r="F133">
        <v>2056</v>
      </c>
      <c r="G133">
        <v>69</v>
      </c>
      <c r="H133">
        <v>1226</v>
      </c>
      <c r="I133">
        <v>52</v>
      </c>
      <c r="J133" t="str">
        <f t="shared" si="4"/>
        <v>40+</v>
      </c>
      <c r="K133" t="s">
        <v>15</v>
      </c>
      <c r="L133">
        <v>4</v>
      </c>
      <c r="M133" t="str">
        <f t="shared" si="5"/>
        <v>Yes</v>
      </c>
      <c r="N133" t="str">
        <f>IF(user_behavior_dataset!$D133&lt;60,"Low",
IF(user_behavior_dataset!$D133&lt;=180,"Medium","High"))</f>
        <v>High</v>
      </c>
      <c r="O133" t="str">
        <f>IF(user_behavior_dataset!$H133&gt;=1341,"Yes","No")</f>
        <v>No</v>
      </c>
      <c r="P133" t="str">
        <f>IF(user_behavior_dataset!$F133&gt;=2229,"Yes","No")</f>
        <v>No</v>
      </c>
    </row>
    <row r="134" spans="1:16" x14ac:dyDescent="0.3">
      <c r="A134">
        <v>133</v>
      </c>
      <c r="B134" t="s">
        <v>11</v>
      </c>
      <c r="C134" t="s">
        <v>12</v>
      </c>
      <c r="D134">
        <v>176</v>
      </c>
      <c r="E134">
        <v>3.6</v>
      </c>
      <c r="F134">
        <v>1193</v>
      </c>
      <c r="G134">
        <v>30</v>
      </c>
      <c r="H134">
        <v>458</v>
      </c>
      <c r="I134">
        <v>40</v>
      </c>
      <c r="J134" t="str">
        <f t="shared" si="4"/>
        <v>25–40</v>
      </c>
      <c r="K134" t="s">
        <v>15</v>
      </c>
      <c r="L134">
        <v>2</v>
      </c>
      <c r="M134" t="str">
        <f t="shared" si="5"/>
        <v>Yes</v>
      </c>
      <c r="N134" t="str">
        <f>IF(user_behavior_dataset!$D134&lt;60,"Low",
IF(user_behavior_dataset!$D134&lt;=180,"Medium","High"))</f>
        <v>Medium</v>
      </c>
      <c r="O134" t="str">
        <f>IF(user_behavior_dataset!$H134&gt;=1341,"Yes","No")</f>
        <v>No</v>
      </c>
      <c r="P134" t="str">
        <f>IF(user_behavior_dataset!$F134&gt;=2229,"Yes","No")</f>
        <v>No</v>
      </c>
    </row>
    <row r="135" spans="1:16" x14ac:dyDescent="0.3">
      <c r="A135">
        <v>134</v>
      </c>
      <c r="B135" t="s">
        <v>19</v>
      </c>
      <c r="C135" t="s">
        <v>12</v>
      </c>
      <c r="D135">
        <v>79</v>
      </c>
      <c r="E135">
        <v>1</v>
      </c>
      <c r="F135">
        <v>313</v>
      </c>
      <c r="G135">
        <v>18</v>
      </c>
      <c r="H135">
        <v>139</v>
      </c>
      <c r="I135">
        <v>42</v>
      </c>
      <c r="J135" t="str">
        <f t="shared" si="4"/>
        <v>40+</v>
      </c>
      <c r="K135" t="s">
        <v>13</v>
      </c>
      <c r="L135">
        <v>1</v>
      </c>
      <c r="M135" t="str">
        <f t="shared" si="5"/>
        <v>Yes</v>
      </c>
      <c r="N135" t="str">
        <f>IF(user_behavior_dataset!$D135&lt;60,"Low",
IF(user_behavior_dataset!$D135&lt;=180,"Medium","High"))</f>
        <v>Medium</v>
      </c>
      <c r="O135" t="str">
        <f>IF(user_behavior_dataset!$H135&gt;=1341,"Yes","No")</f>
        <v>No</v>
      </c>
      <c r="P135" t="str">
        <f>IF(user_behavior_dataset!$F135&gt;=2229,"Yes","No")</f>
        <v>No</v>
      </c>
    </row>
    <row r="136" spans="1:16" x14ac:dyDescent="0.3">
      <c r="A136">
        <v>135</v>
      </c>
      <c r="B136" t="s">
        <v>16</v>
      </c>
      <c r="C136" t="s">
        <v>12</v>
      </c>
      <c r="D136">
        <v>83</v>
      </c>
      <c r="E136">
        <v>1.6</v>
      </c>
      <c r="F136">
        <v>303</v>
      </c>
      <c r="G136">
        <v>19</v>
      </c>
      <c r="H136">
        <v>285</v>
      </c>
      <c r="I136">
        <v>51</v>
      </c>
      <c r="J136" t="str">
        <f t="shared" si="4"/>
        <v>40+</v>
      </c>
      <c r="K136" t="s">
        <v>13</v>
      </c>
      <c r="L136">
        <v>1</v>
      </c>
      <c r="M136" t="str">
        <f t="shared" si="5"/>
        <v>Yes</v>
      </c>
      <c r="N136" t="str">
        <f>IF(user_behavior_dataset!$D136&lt;60,"Low",
IF(user_behavior_dataset!$D136&lt;=180,"Medium","High"))</f>
        <v>Medium</v>
      </c>
      <c r="O136" t="str">
        <f>IF(user_behavior_dataset!$H136&gt;=1341,"Yes","No")</f>
        <v>No</v>
      </c>
      <c r="P136" t="str">
        <f>IF(user_behavior_dataset!$F136&gt;=2229,"Yes","No")</f>
        <v>No</v>
      </c>
    </row>
    <row r="137" spans="1:16" x14ac:dyDescent="0.3">
      <c r="A137">
        <v>136</v>
      </c>
      <c r="B137" t="s">
        <v>17</v>
      </c>
      <c r="C137" t="s">
        <v>18</v>
      </c>
      <c r="D137">
        <v>555</v>
      </c>
      <c r="E137">
        <v>11.3</v>
      </c>
      <c r="F137">
        <v>2528</v>
      </c>
      <c r="G137">
        <v>90</v>
      </c>
      <c r="H137">
        <v>1856</v>
      </c>
      <c r="I137">
        <v>55</v>
      </c>
      <c r="J137" t="str">
        <f t="shared" si="4"/>
        <v>40+</v>
      </c>
      <c r="K137" t="s">
        <v>15</v>
      </c>
      <c r="L137">
        <v>5</v>
      </c>
      <c r="M137" t="str">
        <f t="shared" si="5"/>
        <v>Yes</v>
      </c>
      <c r="N137" t="str">
        <f>IF(user_behavior_dataset!$D137&lt;60,"Low",
IF(user_behavior_dataset!$D137&lt;=180,"Medium","High"))</f>
        <v>High</v>
      </c>
      <c r="O137" t="str">
        <f>IF(user_behavior_dataset!$H137&gt;=1341,"Yes","No")</f>
        <v>Yes</v>
      </c>
      <c r="P137" t="str">
        <f>IF(user_behavior_dataset!$F137&gt;=2229,"Yes","No")</f>
        <v>Yes</v>
      </c>
    </row>
    <row r="138" spans="1:16" x14ac:dyDescent="0.3">
      <c r="A138">
        <v>137</v>
      </c>
      <c r="B138" t="s">
        <v>19</v>
      </c>
      <c r="C138" t="s">
        <v>12</v>
      </c>
      <c r="D138">
        <v>66</v>
      </c>
      <c r="E138">
        <v>1.7</v>
      </c>
      <c r="F138">
        <v>375</v>
      </c>
      <c r="G138">
        <v>16</v>
      </c>
      <c r="H138">
        <v>216</v>
      </c>
      <c r="I138">
        <v>39</v>
      </c>
      <c r="J138" t="str">
        <f t="shared" si="4"/>
        <v>25–40</v>
      </c>
      <c r="K138" t="s">
        <v>13</v>
      </c>
      <c r="L138">
        <v>1</v>
      </c>
      <c r="M138" t="str">
        <f t="shared" si="5"/>
        <v>Yes</v>
      </c>
      <c r="N138" t="str">
        <f>IF(user_behavior_dataset!$D138&lt;60,"Low",
IF(user_behavior_dataset!$D138&lt;=180,"Medium","High"))</f>
        <v>Medium</v>
      </c>
      <c r="O138" t="str">
        <f>IF(user_behavior_dataset!$H138&gt;=1341,"Yes","No")</f>
        <v>No</v>
      </c>
      <c r="P138" t="str">
        <f>IF(user_behavior_dataset!$F138&gt;=2229,"Yes","No")</f>
        <v>No</v>
      </c>
    </row>
    <row r="139" spans="1:16" x14ac:dyDescent="0.3">
      <c r="A139">
        <v>138</v>
      </c>
      <c r="B139" t="s">
        <v>16</v>
      </c>
      <c r="C139" t="s">
        <v>12</v>
      </c>
      <c r="D139">
        <v>237</v>
      </c>
      <c r="E139">
        <v>4.5</v>
      </c>
      <c r="F139">
        <v>1368</v>
      </c>
      <c r="G139">
        <v>42</v>
      </c>
      <c r="H139">
        <v>868</v>
      </c>
      <c r="I139">
        <v>24</v>
      </c>
      <c r="J139" t="str">
        <f t="shared" si="4"/>
        <v>&lt;25</v>
      </c>
      <c r="K139" t="s">
        <v>15</v>
      </c>
      <c r="L139">
        <v>3</v>
      </c>
      <c r="M139" t="str">
        <f t="shared" si="5"/>
        <v>Yes</v>
      </c>
      <c r="N139" t="str">
        <f>IF(user_behavior_dataset!$D139&lt;60,"Low",
IF(user_behavior_dataset!$D139&lt;=180,"Medium","High"))</f>
        <v>High</v>
      </c>
      <c r="O139" t="str">
        <f>IF(user_behavior_dataset!$H139&gt;=1341,"Yes","No")</f>
        <v>No</v>
      </c>
      <c r="P139" t="str">
        <f>IF(user_behavior_dataset!$F139&gt;=2229,"Yes","No")</f>
        <v>No</v>
      </c>
    </row>
    <row r="140" spans="1:16" x14ac:dyDescent="0.3">
      <c r="A140">
        <v>139</v>
      </c>
      <c r="B140" t="s">
        <v>19</v>
      </c>
      <c r="C140" t="s">
        <v>12</v>
      </c>
      <c r="D140">
        <v>497</v>
      </c>
      <c r="E140">
        <v>9.6999999999999993</v>
      </c>
      <c r="F140">
        <v>2876</v>
      </c>
      <c r="G140">
        <v>94</v>
      </c>
      <c r="H140">
        <v>2076</v>
      </c>
      <c r="I140">
        <v>18</v>
      </c>
      <c r="J140" t="str">
        <f t="shared" si="4"/>
        <v>&lt;25</v>
      </c>
      <c r="K140" t="s">
        <v>13</v>
      </c>
      <c r="L140">
        <v>5</v>
      </c>
      <c r="M140" t="str">
        <f t="shared" si="5"/>
        <v>Yes</v>
      </c>
      <c r="N140" t="str">
        <f>IF(user_behavior_dataset!$D140&lt;60,"Low",
IF(user_behavior_dataset!$D140&lt;=180,"Medium","High"))</f>
        <v>High</v>
      </c>
      <c r="O140" t="str">
        <f>IF(user_behavior_dataset!$H140&gt;=1341,"Yes","No")</f>
        <v>Yes</v>
      </c>
      <c r="P140" t="str">
        <f>IF(user_behavior_dataset!$F140&gt;=2229,"Yes","No")</f>
        <v>Yes</v>
      </c>
    </row>
    <row r="141" spans="1:16" x14ac:dyDescent="0.3">
      <c r="A141">
        <v>140</v>
      </c>
      <c r="B141" t="s">
        <v>11</v>
      </c>
      <c r="C141" t="s">
        <v>12</v>
      </c>
      <c r="D141">
        <v>516</v>
      </c>
      <c r="E141">
        <v>11.1</v>
      </c>
      <c r="F141">
        <v>2429</v>
      </c>
      <c r="G141">
        <v>91</v>
      </c>
      <c r="H141">
        <v>1796</v>
      </c>
      <c r="I141">
        <v>53</v>
      </c>
      <c r="J141" t="str">
        <f t="shared" si="4"/>
        <v>40+</v>
      </c>
      <c r="K141" t="s">
        <v>13</v>
      </c>
      <c r="L141">
        <v>5</v>
      </c>
      <c r="M141" t="str">
        <f t="shared" si="5"/>
        <v>Yes</v>
      </c>
      <c r="N141" t="str">
        <f>IF(user_behavior_dataset!$D141&lt;60,"Low",
IF(user_behavior_dataset!$D141&lt;=180,"Medium","High"))</f>
        <v>High</v>
      </c>
      <c r="O141" t="str">
        <f>IF(user_behavior_dataset!$H141&gt;=1341,"Yes","No")</f>
        <v>Yes</v>
      </c>
      <c r="P141" t="str">
        <f>IF(user_behavior_dataset!$F141&gt;=2229,"Yes","No")</f>
        <v>Yes</v>
      </c>
    </row>
    <row r="142" spans="1:16" x14ac:dyDescent="0.3">
      <c r="A142">
        <v>141</v>
      </c>
      <c r="B142" t="s">
        <v>16</v>
      </c>
      <c r="C142" t="s">
        <v>12</v>
      </c>
      <c r="D142">
        <v>219</v>
      </c>
      <c r="E142">
        <v>5.2</v>
      </c>
      <c r="F142">
        <v>1510</v>
      </c>
      <c r="G142">
        <v>42</v>
      </c>
      <c r="H142">
        <v>655</v>
      </c>
      <c r="I142">
        <v>50</v>
      </c>
      <c r="J142" t="str">
        <f t="shared" si="4"/>
        <v>40+</v>
      </c>
      <c r="K142" t="s">
        <v>15</v>
      </c>
      <c r="L142">
        <v>3</v>
      </c>
      <c r="M142" t="str">
        <f t="shared" si="5"/>
        <v>Yes</v>
      </c>
      <c r="N142" t="str">
        <f>IF(user_behavior_dataset!$D142&lt;60,"Low",
IF(user_behavior_dataset!$D142&lt;=180,"Medium","High"))</f>
        <v>High</v>
      </c>
      <c r="O142" t="str">
        <f>IF(user_behavior_dataset!$H142&gt;=1341,"Yes","No")</f>
        <v>No</v>
      </c>
      <c r="P142" t="str">
        <f>IF(user_behavior_dataset!$F142&gt;=2229,"Yes","No")</f>
        <v>No</v>
      </c>
    </row>
    <row r="143" spans="1:16" x14ac:dyDescent="0.3">
      <c r="A143">
        <v>142</v>
      </c>
      <c r="B143" t="s">
        <v>11</v>
      </c>
      <c r="C143" t="s">
        <v>12</v>
      </c>
      <c r="D143">
        <v>448</v>
      </c>
      <c r="E143">
        <v>6.3</v>
      </c>
      <c r="F143">
        <v>2044</v>
      </c>
      <c r="G143">
        <v>71</v>
      </c>
      <c r="H143">
        <v>1337</v>
      </c>
      <c r="I143">
        <v>51</v>
      </c>
      <c r="J143" t="str">
        <f t="shared" si="4"/>
        <v>40+</v>
      </c>
      <c r="K143" t="s">
        <v>13</v>
      </c>
      <c r="L143">
        <v>4</v>
      </c>
      <c r="M143" t="str">
        <f t="shared" si="5"/>
        <v>Yes</v>
      </c>
      <c r="N143" t="str">
        <f>IF(user_behavior_dataset!$D143&lt;60,"Low",
IF(user_behavior_dataset!$D143&lt;=180,"Medium","High"))</f>
        <v>High</v>
      </c>
      <c r="O143" t="str">
        <f>IF(user_behavior_dataset!$H143&gt;=1341,"Yes","No")</f>
        <v>No</v>
      </c>
      <c r="P143" t="str">
        <f>IF(user_behavior_dataset!$F143&gt;=2229,"Yes","No")</f>
        <v>No</v>
      </c>
    </row>
    <row r="144" spans="1:16" x14ac:dyDescent="0.3">
      <c r="A144">
        <v>143</v>
      </c>
      <c r="B144" t="s">
        <v>17</v>
      </c>
      <c r="C144" t="s">
        <v>18</v>
      </c>
      <c r="D144">
        <v>156</v>
      </c>
      <c r="E144">
        <v>2.2000000000000002</v>
      </c>
      <c r="F144">
        <v>896</v>
      </c>
      <c r="G144">
        <v>37</v>
      </c>
      <c r="H144">
        <v>429</v>
      </c>
      <c r="I144">
        <v>57</v>
      </c>
      <c r="J144" t="str">
        <f t="shared" si="4"/>
        <v>40+</v>
      </c>
      <c r="K144" t="s">
        <v>15</v>
      </c>
      <c r="L144">
        <v>2</v>
      </c>
      <c r="M144" t="str">
        <f t="shared" si="5"/>
        <v>Yes</v>
      </c>
      <c r="N144" t="str">
        <f>IF(user_behavior_dataset!$D144&lt;60,"Low",
IF(user_behavior_dataset!$D144&lt;=180,"Medium","High"))</f>
        <v>Medium</v>
      </c>
      <c r="O144" t="str">
        <f>IF(user_behavior_dataset!$H144&gt;=1341,"Yes","No")</f>
        <v>No</v>
      </c>
      <c r="P144" t="str">
        <f>IF(user_behavior_dataset!$F144&gt;=2229,"Yes","No")</f>
        <v>No</v>
      </c>
    </row>
    <row r="145" spans="1:16" x14ac:dyDescent="0.3">
      <c r="A145">
        <v>144</v>
      </c>
      <c r="B145" t="s">
        <v>19</v>
      </c>
      <c r="C145" t="s">
        <v>12</v>
      </c>
      <c r="D145">
        <v>68</v>
      </c>
      <c r="E145">
        <v>1.1000000000000001</v>
      </c>
      <c r="F145">
        <v>528</v>
      </c>
      <c r="G145">
        <v>12</v>
      </c>
      <c r="H145">
        <v>201</v>
      </c>
      <c r="I145">
        <v>29</v>
      </c>
      <c r="J145" t="str">
        <f t="shared" si="4"/>
        <v>25–40</v>
      </c>
      <c r="K145" t="s">
        <v>13</v>
      </c>
      <c r="L145">
        <v>1</v>
      </c>
      <c r="M145" t="str">
        <f t="shared" si="5"/>
        <v>Yes</v>
      </c>
      <c r="N145" t="str">
        <f>IF(user_behavior_dataset!$D145&lt;60,"Low",
IF(user_behavior_dataset!$D145&lt;=180,"Medium","High"))</f>
        <v>Medium</v>
      </c>
      <c r="O145" t="str">
        <f>IF(user_behavior_dataset!$H145&gt;=1341,"Yes","No")</f>
        <v>No</v>
      </c>
      <c r="P145" t="str">
        <f>IF(user_behavior_dataset!$F145&gt;=2229,"Yes","No")</f>
        <v>No</v>
      </c>
    </row>
    <row r="146" spans="1:16" x14ac:dyDescent="0.3">
      <c r="A146">
        <v>145</v>
      </c>
      <c r="B146" t="s">
        <v>17</v>
      </c>
      <c r="C146" t="s">
        <v>18</v>
      </c>
      <c r="D146">
        <v>524</v>
      </c>
      <c r="E146">
        <v>11.2</v>
      </c>
      <c r="F146">
        <v>2417</v>
      </c>
      <c r="G146">
        <v>90</v>
      </c>
      <c r="H146">
        <v>2069</v>
      </c>
      <c r="I146">
        <v>29</v>
      </c>
      <c r="J146" t="str">
        <f t="shared" si="4"/>
        <v>25–40</v>
      </c>
      <c r="K146" t="s">
        <v>15</v>
      </c>
      <c r="L146">
        <v>5</v>
      </c>
      <c r="M146" t="str">
        <f t="shared" si="5"/>
        <v>Yes</v>
      </c>
      <c r="N146" t="str">
        <f>IF(user_behavior_dataset!$D146&lt;60,"Low",
IF(user_behavior_dataset!$D146&lt;=180,"Medium","High"))</f>
        <v>High</v>
      </c>
      <c r="O146" t="str">
        <f>IF(user_behavior_dataset!$H146&gt;=1341,"Yes","No")</f>
        <v>Yes</v>
      </c>
      <c r="P146" t="str">
        <f>IF(user_behavior_dataset!$F146&gt;=2229,"Yes","No")</f>
        <v>Yes</v>
      </c>
    </row>
    <row r="147" spans="1:16" x14ac:dyDescent="0.3">
      <c r="A147">
        <v>146</v>
      </c>
      <c r="B147" t="s">
        <v>17</v>
      </c>
      <c r="C147" t="s">
        <v>18</v>
      </c>
      <c r="D147">
        <v>188</v>
      </c>
      <c r="E147">
        <v>5.3</v>
      </c>
      <c r="F147">
        <v>1281</v>
      </c>
      <c r="G147">
        <v>45</v>
      </c>
      <c r="H147">
        <v>974</v>
      </c>
      <c r="I147">
        <v>35</v>
      </c>
      <c r="J147" t="str">
        <f t="shared" si="4"/>
        <v>25–40</v>
      </c>
      <c r="K147" t="s">
        <v>13</v>
      </c>
      <c r="L147">
        <v>3</v>
      </c>
      <c r="M147" t="str">
        <f t="shared" si="5"/>
        <v>Yes</v>
      </c>
      <c r="N147" t="str">
        <f>IF(user_behavior_dataset!$D147&lt;60,"Low",
IF(user_behavior_dataset!$D147&lt;=180,"Medium","High"))</f>
        <v>High</v>
      </c>
      <c r="O147" t="str">
        <f>IF(user_behavior_dataset!$H147&gt;=1341,"Yes","No")</f>
        <v>No</v>
      </c>
      <c r="P147" t="str">
        <f>IF(user_behavior_dataset!$F147&gt;=2229,"Yes","No")</f>
        <v>No</v>
      </c>
    </row>
    <row r="148" spans="1:16" x14ac:dyDescent="0.3">
      <c r="A148">
        <v>147</v>
      </c>
      <c r="B148" t="s">
        <v>19</v>
      </c>
      <c r="C148" t="s">
        <v>12</v>
      </c>
      <c r="D148">
        <v>443</v>
      </c>
      <c r="E148">
        <v>7.4</v>
      </c>
      <c r="F148">
        <v>2289</v>
      </c>
      <c r="G148">
        <v>73</v>
      </c>
      <c r="H148">
        <v>1026</v>
      </c>
      <c r="I148">
        <v>33</v>
      </c>
      <c r="J148" t="str">
        <f t="shared" si="4"/>
        <v>25–40</v>
      </c>
      <c r="K148" t="s">
        <v>13</v>
      </c>
      <c r="L148">
        <v>4</v>
      </c>
      <c r="M148" t="str">
        <f t="shared" si="5"/>
        <v>Yes</v>
      </c>
      <c r="N148" t="str">
        <f>IF(user_behavior_dataset!$D148&lt;60,"Low",
IF(user_behavior_dataset!$D148&lt;=180,"Medium","High"))</f>
        <v>High</v>
      </c>
      <c r="O148" t="str">
        <f>IF(user_behavior_dataset!$H148&gt;=1341,"Yes","No")</f>
        <v>No</v>
      </c>
      <c r="P148" t="str">
        <f>IF(user_behavior_dataset!$F148&gt;=2229,"Yes","No")</f>
        <v>Yes</v>
      </c>
    </row>
    <row r="149" spans="1:16" x14ac:dyDescent="0.3">
      <c r="A149">
        <v>148</v>
      </c>
      <c r="B149" t="s">
        <v>16</v>
      </c>
      <c r="C149" t="s">
        <v>12</v>
      </c>
      <c r="D149">
        <v>52</v>
      </c>
      <c r="E149">
        <v>1.6</v>
      </c>
      <c r="F149">
        <v>385</v>
      </c>
      <c r="G149">
        <v>19</v>
      </c>
      <c r="H149">
        <v>234</v>
      </c>
      <c r="I149">
        <v>24</v>
      </c>
      <c r="J149" t="str">
        <f t="shared" si="4"/>
        <v>&lt;25</v>
      </c>
      <c r="K149" t="s">
        <v>13</v>
      </c>
      <c r="L149">
        <v>1</v>
      </c>
      <c r="M149" t="str">
        <f t="shared" si="5"/>
        <v>No</v>
      </c>
      <c r="N149" t="str">
        <f>IF(user_behavior_dataset!$D149&lt;60,"Low",
IF(user_behavior_dataset!$D149&lt;=180,"Medium","High"))</f>
        <v>Low</v>
      </c>
      <c r="O149" t="str">
        <f>IF(user_behavior_dataset!$H149&gt;=1341,"Yes","No")</f>
        <v>No</v>
      </c>
      <c r="P149" t="str">
        <f>IF(user_behavior_dataset!$F149&gt;=2229,"Yes","No")</f>
        <v>No</v>
      </c>
    </row>
    <row r="150" spans="1:16" x14ac:dyDescent="0.3">
      <c r="A150">
        <v>149</v>
      </c>
      <c r="B150" t="s">
        <v>14</v>
      </c>
      <c r="C150" t="s">
        <v>12</v>
      </c>
      <c r="D150">
        <v>228</v>
      </c>
      <c r="E150">
        <v>4.2</v>
      </c>
      <c r="F150">
        <v>1677</v>
      </c>
      <c r="G150">
        <v>58</v>
      </c>
      <c r="H150">
        <v>823</v>
      </c>
      <c r="I150">
        <v>56</v>
      </c>
      <c r="J150" t="str">
        <f t="shared" si="4"/>
        <v>40+</v>
      </c>
      <c r="K150" t="s">
        <v>13</v>
      </c>
      <c r="L150">
        <v>3</v>
      </c>
      <c r="M150" t="str">
        <f t="shared" si="5"/>
        <v>Yes</v>
      </c>
      <c r="N150" t="str">
        <f>IF(user_behavior_dataset!$D150&lt;60,"Low",
IF(user_behavior_dataset!$D150&lt;=180,"Medium","High"))</f>
        <v>High</v>
      </c>
      <c r="O150" t="str">
        <f>IF(user_behavior_dataset!$H150&gt;=1341,"Yes","No")</f>
        <v>No</v>
      </c>
      <c r="P150" t="str">
        <f>IF(user_behavior_dataset!$F150&gt;=2229,"Yes","No")</f>
        <v>No</v>
      </c>
    </row>
    <row r="151" spans="1:16" x14ac:dyDescent="0.3">
      <c r="A151">
        <v>150</v>
      </c>
      <c r="B151" t="s">
        <v>11</v>
      </c>
      <c r="C151" t="s">
        <v>12</v>
      </c>
      <c r="D151">
        <v>149</v>
      </c>
      <c r="E151">
        <v>3.7</v>
      </c>
      <c r="F151">
        <v>873</v>
      </c>
      <c r="G151">
        <v>34</v>
      </c>
      <c r="H151">
        <v>459</v>
      </c>
      <c r="I151">
        <v>51</v>
      </c>
      <c r="J151" t="str">
        <f t="shared" si="4"/>
        <v>40+</v>
      </c>
      <c r="K151" t="s">
        <v>13</v>
      </c>
      <c r="L151">
        <v>2</v>
      </c>
      <c r="M151" t="str">
        <f t="shared" si="5"/>
        <v>Yes</v>
      </c>
      <c r="N151" t="str">
        <f>IF(user_behavior_dataset!$D151&lt;60,"Low",
IF(user_behavior_dataset!$D151&lt;=180,"Medium","High"))</f>
        <v>Medium</v>
      </c>
      <c r="O151" t="str">
        <f>IF(user_behavior_dataset!$H151&gt;=1341,"Yes","No")</f>
        <v>No</v>
      </c>
      <c r="P151" t="str">
        <f>IF(user_behavior_dataset!$F151&gt;=2229,"Yes","No")</f>
        <v>No</v>
      </c>
    </row>
    <row r="152" spans="1:16" x14ac:dyDescent="0.3">
      <c r="A152">
        <v>151</v>
      </c>
      <c r="B152" t="s">
        <v>17</v>
      </c>
      <c r="C152" t="s">
        <v>18</v>
      </c>
      <c r="D152">
        <v>523</v>
      </c>
      <c r="E152">
        <v>9.4</v>
      </c>
      <c r="F152">
        <v>2583</v>
      </c>
      <c r="G152">
        <v>92</v>
      </c>
      <c r="H152">
        <v>1539</v>
      </c>
      <c r="I152">
        <v>21</v>
      </c>
      <c r="J152" t="str">
        <f t="shared" si="4"/>
        <v>&lt;25</v>
      </c>
      <c r="K152" t="s">
        <v>13</v>
      </c>
      <c r="L152">
        <v>5</v>
      </c>
      <c r="M152" t="str">
        <f t="shared" si="5"/>
        <v>Yes</v>
      </c>
      <c r="N152" t="str">
        <f>IF(user_behavior_dataset!$D152&lt;60,"Low",
IF(user_behavior_dataset!$D152&lt;=180,"Medium","High"))</f>
        <v>High</v>
      </c>
      <c r="O152" t="str">
        <f>IF(user_behavior_dataset!$H152&gt;=1341,"Yes","No")</f>
        <v>Yes</v>
      </c>
      <c r="P152" t="str">
        <f>IF(user_behavior_dataset!$F152&gt;=2229,"Yes","No")</f>
        <v>Yes</v>
      </c>
    </row>
    <row r="153" spans="1:16" x14ac:dyDescent="0.3">
      <c r="A153">
        <v>152</v>
      </c>
      <c r="B153" t="s">
        <v>19</v>
      </c>
      <c r="C153" t="s">
        <v>12</v>
      </c>
      <c r="D153">
        <v>42</v>
      </c>
      <c r="E153">
        <v>1.6</v>
      </c>
      <c r="F153">
        <v>315</v>
      </c>
      <c r="G153">
        <v>19</v>
      </c>
      <c r="H153">
        <v>207</v>
      </c>
      <c r="I153">
        <v>52</v>
      </c>
      <c r="J153" t="str">
        <f t="shared" si="4"/>
        <v>40+</v>
      </c>
      <c r="K153" t="s">
        <v>15</v>
      </c>
      <c r="L153">
        <v>1</v>
      </c>
      <c r="M153" t="str">
        <f t="shared" si="5"/>
        <v>No</v>
      </c>
      <c r="N153" t="str">
        <f>IF(user_behavior_dataset!$D153&lt;60,"Low",
IF(user_behavior_dataset!$D153&lt;=180,"Medium","High"))</f>
        <v>Low</v>
      </c>
      <c r="O153" t="str">
        <f>IF(user_behavior_dataset!$H153&gt;=1341,"Yes","No")</f>
        <v>No</v>
      </c>
      <c r="P153" t="str">
        <f>IF(user_behavior_dataset!$F153&gt;=2229,"Yes","No")</f>
        <v>No</v>
      </c>
    </row>
    <row r="154" spans="1:16" x14ac:dyDescent="0.3">
      <c r="A154">
        <v>153</v>
      </c>
      <c r="B154" t="s">
        <v>11</v>
      </c>
      <c r="C154" t="s">
        <v>12</v>
      </c>
      <c r="D154">
        <v>120</v>
      </c>
      <c r="E154">
        <v>2</v>
      </c>
      <c r="F154">
        <v>741</v>
      </c>
      <c r="G154">
        <v>38</v>
      </c>
      <c r="H154">
        <v>396</v>
      </c>
      <c r="I154">
        <v>56</v>
      </c>
      <c r="J154" t="str">
        <f t="shared" si="4"/>
        <v>40+</v>
      </c>
      <c r="K154" t="s">
        <v>15</v>
      </c>
      <c r="L154">
        <v>2</v>
      </c>
      <c r="M154" t="str">
        <f t="shared" si="5"/>
        <v>Yes</v>
      </c>
      <c r="N154" t="str">
        <f>IF(user_behavior_dataset!$D154&lt;60,"Low",
IF(user_behavior_dataset!$D154&lt;=180,"Medium","High"))</f>
        <v>Medium</v>
      </c>
      <c r="O154" t="str">
        <f>IF(user_behavior_dataset!$H154&gt;=1341,"Yes","No")</f>
        <v>No</v>
      </c>
      <c r="P154" t="str">
        <f>IF(user_behavior_dataset!$F154&gt;=2229,"Yes","No")</f>
        <v>No</v>
      </c>
    </row>
    <row r="155" spans="1:16" x14ac:dyDescent="0.3">
      <c r="A155">
        <v>154</v>
      </c>
      <c r="B155" t="s">
        <v>14</v>
      </c>
      <c r="C155" t="s">
        <v>12</v>
      </c>
      <c r="D155">
        <v>329</v>
      </c>
      <c r="E155">
        <v>7.5</v>
      </c>
      <c r="F155">
        <v>2277</v>
      </c>
      <c r="G155">
        <v>72</v>
      </c>
      <c r="H155">
        <v>1185</v>
      </c>
      <c r="I155">
        <v>27</v>
      </c>
      <c r="J155" t="str">
        <f t="shared" si="4"/>
        <v>25–40</v>
      </c>
      <c r="K155" t="s">
        <v>15</v>
      </c>
      <c r="L155">
        <v>4</v>
      </c>
      <c r="M155" t="str">
        <f t="shared" si="5"/>
        <v>Yes</v>
      </c>
      <c r="N155" t="str">
        <f>IF(user_behavior_dataset!$D155&lt;60,"Low",
IF(user_behavior_dataset!$D155&lt;=180,"Medium","High"))</f>
        <v>High</v>
      </c>
      <c r="O155" t="str">
        <f>IF(user_behavior_dataset!$H155&gt;=1341,"Yes","No")</f>
        <v>No</v>
      </c>
      <c r="P155" t="str">
        <f>IF(user_behavior_dataset!$F155&gt;=2229,"Yes","No")</f>
        <v>Yes</v>
      </c>
    </row>
    <row r="156" spans="1:16" x14ac:dyDescent="0.3">
      <c r="A156">
        <v>155</v>
      </c>
      <c r="B156" t="s">
        <v>16</v>
      </c>
      <c r="C156" t="s">
        <v>12</v>
      </c>
      <c r="D156">
        <v>68</v>
      </c>
      <c r="E156">
        <v>1.5</v>
      </c>
      <c r="F156">
        <v>364</v>
      </c>
      <c r="G156">
        <v>10</v>
      </c>
      <c r="H156">
        <v>102</v>
      </c>
      <c r="I156">
        <v>31</v>
      </c>
      <c r="J156" t="str">
        <f t="shared" si="4"/>
        <v>25–40</v>
      </c>
      <c r="K156" t="s">
        <v>15</v>
      </c>
      <c r="L156">
        <v>1</v>
      </c>
      <c r="M156" t="str">
        <f t="shared" si="5"/>
        <v>Yes</v>
      </c>
      <c r="N156" t="str">
        <f>IF(user_behavior_dataset!$D156&lt;60,"Low",
IF(user_behavior_dataset!$D156&lt;=180,"Medium","High"))</f>
        <v>Medium</v>
      </c>
      <c r="O156" t="str">
        <f>IF(user_behavior_dataset!$H156&gt;=1341,"Yes","No")</f>
        <v>No</v>
      </c>
      <c r="P156" t="str">
        <f>IF(user_behavior_dataset!$F156&gt;=2229,"Yes","No")</f>
        <v>No</v>
      </c>
    </row>
    <row r="157" spans="1:16" x14ac:dyDescent="0.3">
      <c r="A157">
        <v>156</v>
      </c>
      <c r="B157" t="s">
        <v>16</v>
      </c>
      <c r="C157" t="s">
        <v>12</v>
      </c>
      <c r="D157">
        <v>158</v>
      </c>
      <c r="E157">
        <v>3.4</v>
      </c>
      <c r="F157">
        <v>893</v>
      </c>
      <c r="G157">
        <v>36</v>
      </c>
      <c r="H157">
        <v>493</v>
      </c>
      <c r="I157">
        <v>32</v>
      </c>
      <c r="J157" t="str">
        <f t="shared" si="4"/>
        <v>25–40</v>
      </c>
      <c r="K157" t="s">
        <v>13</v>
      </c>
      <c r="L157">
        <v>2</v>
      </c>
      <c r="M157" t="str">
        <f t="shared" si="5"/>
        <v>Yes</v>
      </c>
      <c r="N157" t="str">
        <f>IF(user_behavior_dataset!$D157&lt;60,"Low",
IF(user_behavior_dataset!$D157&lt;=180,"Medium","High"))</f>
        <v>Medium</v>
      </c>
      <c r="O157" t="str">
        <f>IF(user_behavior_dataset!$H157&gt;=1341,"Yes","No")</f>
        <v>No</v>
      </c>
      <c r="P157" t="str">
        <f>IF(user_behavior_dataset!$F157&gt;=2229,"Yes","No")</f>
        <v>No</v>
      </c>
    </row>
    <row r="158" spans="1:16" x14ac:dyDescent="0.3">
      <c r="A158">
        <v>157</v>
      </c>
      <c r="B158" t="s">
        <v>16</v>
      </c>
      <c r="C158" t="s">
        <v>12</v>
      </c>
      <c r="D158">
        <v>86</v>
      </c>
      <c r="E158">
        <v>1.7</v>
      </c>
      <c r="F158">
        <v>439</v>
      </c>
      <c r="G158">
        <v>19</v>
      </c>
      <c r="H158">
        <v>136</v>
      </c>
      <c r="I158">
        <v>54</v>
      </c>
      <c r="J158" t="str">
        <f t="shared" si="4"/>
        <v>40+</v>
      </c>
      <c r="K158" t="s">
        <v>13</v>
      </c>
      <c r="L158">
        <v>1</v>
      </c>
      <c r="M158" t="str">
        <f t="shared" si="5"/>
        <v>Yes</v>
      </c>
      <c r="N158" t="str">
        <f>IF(user_behavior_dataset!$D158&lt;60,"Low",
IF(user_behavior_dataset!$D158&lt;=180,"Medium","High"))</f>
        <v>Medium</v>
      </c>
      <c r="O158" t="str">
        <f>IF(user_behavior_dataset!$H158&gt;=1341,"Yes","No")</f>
        <v>No</v>
      </c>
      <c r="P158" t="str">
        <f>IF(user_behavior_dataset!$F158&gt;=2229,"Yes","No")</f>
        <v>No</v>
      </c>
    </row>
    <row r="159" spans="1:16" x14ac:dyDescent="0.3">
      <c r="A159">
        <v>158</v>
      </c>
      <c r="B159" t="s">
        <v>16</v>
      </c>
      <c r="C159" t="s">
        <v>12</v>
      </c>
      <c r="D159">
        <v>339</v>
      </c>
      <c r="E159">
        <v>7.8</v>
      </c>
      <c r="F159">
        <v>2102</v>
      </c>
      <c r="G159">
        <v>71</v>
      </c>
      <c r="H159">
        <v>1062</v>
      </c>
      <c r="I159">
        <v>51</v>
      </c>
      <c r="J159" t="str">
        <f t="shared" si="4"/>
        <v>40+</v>
      </c>
      <c r="K159" t="s">
        <v>13</v>
      </c>
      <c r="L159">
        <v>4</v>
      </c>
      <c r="M159" t="str">
        <f t="shared" si="5"/>
        <v>Yes</v>
      </c>
      <c r="N159" t="str">
        <f>IF(user_behavior_dataset!$D159&lt;60,"Low",
IF(user_behavior_dataset!$D159&lt;=180,"Medium","High"))</f>
        <v>High</v>
      </c>
      <c r="O159" t="str">
        <f>IF(user_behavior_dataset!$H159&gt;=1341,"Yes","No")</f>
        <v>No</v>
      </c>
      <c r="P159" t="str">
        <f>IF(user_behavior_dataset!$F159&gt;=2229,"Yes","No")</f>
        <v>No</v>
      </c>
    </row>
    <row r="160" spans="1:16" x14ac:dyDescent="0.3">
      <c r="A160">
        <v>159</v>
      </c>
      <c r="B160" t="s">
        <v>19</v>
      </c>
      <c r="C160" t="s">
        <v>12</v>
      </c>
      <c r="D160">
        <v>304</v>
      </c>
      <c r="E160">
        <v>6.5</v>
      </c>
      <c r="F160">
        <v>2375</v>
      </c>
      <c r="G160">
        <v>79</v>
      </c>
      <c r="H160">
        <v>1493</v>
      </c>
      <c r="I160">
        <v>51</v>
      </c>
      <c r="J160" t="str">
        <f t="shared" si="4"/>
        <v>40+</v>
      </c>
      <c r="K160" t="s">
        <v>13</v>
      </c>
      <c r="L160">
        <v>4</v>
      </c>
      <c r="M160" t="str">
        <f t="shared" si="5"/>
        <v>Yes</v>
      </c>
      <c r="N160" t="str">
        <f>IF(user_behavior_dataset!$D160&lt;60,"Low",
IF(user_behavior_dataset!$D160&lt;=180,"Medium","High"))</f>
        <v>High</v>
      </c>
      <c r="O160" t="str">
        <f>IF(user_behavior_dataset!$H160&gt;=1341,"Yes","No")</f>
        <v>Yes</v>
      </c>
      <c r="P160" t="str">
        <f>IF(user_behavior_dataset!$F160&gt;=2229,"Yes","No")</f>
        <v>Yes</v>
      </c>
    </row>
    <row r="161" spans="1:16" x14ac:dyDescent="0.3">
      <c r="A161">
        <v>160</v>
      </c>
      <c r="B161" t="s">
        <v>16</v>
      </c>
      <c r="C161" t="s">
        <v>12</v>
      </c>
      <c r="D161">
        <v>131</v>
      </c>
      <c r="E161">
        <v>2.4</v>
      </c>
      <c r="F161">
        <v>859</v>
      </c>
      <c r="G161">
        <v>26</v>
      </c>
      <c r="H161">
        <v>305</v>
      </c>
      <c r="I161">
        <v>40</v>
      </c>
      <c r="J161" t="str">
        <f t="shared" si="4"/>
        <v>25–40</v>
      </c>
      <c r="K161" t="s">
        <v>13</v>
      </c>
      <c r="L161">
        <v>2</v>
      </c>
      <c r="M161" t="str">
        <f t="shared" si="5"/>
        <v>Yes</v>
      </c>
      <c r="N161" t="str">
        <f>IF(user_behavior_dataset!$D161&lt;60,"Low",
IF(user_behavior_dataset!$D161&lt;=180,"Medium","High"))</f>
        <v>Medium</v>
      </c>
      <c r="O161" t="str">
        <f>IF(user_behavior_dataset!$H161&gt;=1341,"Yes","No")</f>
        <v>No</v>
      </c>
      <c r="P161" t="str">
        <f>IF(user_behavior_dataset!$F161&gt;=2229,"Yes","No")</f>
        <v>No</v>
      </c>
    </row>
    <row r="162" spans="1:16" x14ac:dyDescent="0.3">
      <c r="A162">
        <v>161</v>
      </c>
      <c r="B162" t="s">
        <v>19</v>
      </c>
      <c r="C162" t="s">
        <v>12</v>
      </c>
      <c r="D162">
        <v>64</v>
      </c>
      <c r="E162">
        <v>1.6</v>
      </c>
      <c r="F162">
        <v>540</v>
      </c>
      <c r="G162">
        <v>19</v>
      </c>
      <c r="H162">
        <v>262</v>
      </c>
      <c r="I162">
        <v>35</v>
      </c>
      <c r="J162" t="str">
        <f t="shared" si="4"/>
        <v>25–40</v>
      </c>
      <c r="K162" t="s">
        <v>15</v>
      </c>
      <c r="L162">
        <v>1</v>
      </c>
      <c r="M162" t="str">
        <f t="shared" si="5"/>
        <v>Yes</v>
      </c>
      <c r="N162" t="str">
        <f>IF(user_behavior_dataset!$D162&lt;60,"Low",
IF(user_behavior_dataset!$D162&lt;=180,"Medium","High"))</f>
        <v>Medium</v>
      </c>
      <c r="O162" t="str">
        <f>IF(user_behavior_dataset!$H162&gt;=1341,"Yes","No")</f>
        <v>No</v>
      </c>
      <c r="P162" t="str">
        <f>IF(user_behavior_dataset!$F162&gt;=2229,"Yes","No")</f>
        <v>No</v>
      </c>
    </row>
    <row r="163" spans="1:16" x14ac:dyDescent="0.3">
      <c r="A163">
        <v>162</v>
      </c>
      <c r="B163" t="s">
        <v>16</v>
      </c>
      <c r="C163" t="s">
        <v>12</v>
      </c>
      <c r="D163">
        <v>53</v>
      </c>
      <c r="E163">
        <v>1.9</v>
      </c>
      <c r="F163">
        <v>526</v>
      </c>
      <c r="G163">
        <v>15</v>
      </c>
      <c r="H163">
        <v>112</v>
      </c>
      <c r="I163">
        <v>42</v>
      </c>
      <c r="J163" t="str">
        <f t="shared" si="4"/>
        <v>40+</v>
      </c>
      <c r="K163" t="s">
        <v>13</v>
      </c>
      <c r="L163">
        <v>1</v>
      </c>
      <c r="M163" t="str">
        <f t="shared" si="5"/>
        <v>No</v>
      </c>
      <c r="N163" t="str">
        <f>IF(user_behavior_dataset!$D163&lt;60,"Low",
IF(user_behavior_dataset!$D163&lt;=180,"Medium","High"))</f>
        <v>Low</v>
      </c>
      <c r="O163" t="str">
        <f>IF(user_behavior_dataset!$H163&gt;=1341,"Yes","No")</f>
        <v>No</v>
      </c>
      <c r="P163" t="str">
        <f>IF(user_behavior_dataset!$F163&gt;=2229,"Yes","No")</f>
        <v>No</v>
      </c>
    </row>
    <row r="164" spans="1:16" x14ac:dyDescent="0.3">
      <c r="A164">
        <v>163</v>
      </c>
      <c r="B164" t="s">
        <v>11</v>
      </c>
      <c r="C164" t="s">
        <v>12</v>
      </c>
      <c r="D164">
        <v>442</v>
      </c>
      <c r="E164">
        <v>7.7</v>
      </c>
      <c r="F164">
        <v>2067</v>
      </c>
      <c r="G164">
        <v>69</v>
      </c>
      <c r="H164">
        <v>1440</v>
      </c>
      <c r="I164">
        <v>45</v>
      </c>
      <c r="J164" t="str">
        <f t="shared" si="4"/>
        <v>40+</v>
      </c>
      <c r="K164" t="s">
        <v>13</v>
      </c>
      <c r="L164">
        <v>4</v>
      </c>
      <c r="M164" t="str">
        <f t="shared" si="5"/>
        <v>Yes</v>
      </c>
      <c r="N164" t="str">
        <f>IF(user_behavior_dataset!$D164&lt;60,"Low",
IF(user_behavior_dataset!$D164&lt;=180,"Medium","High"))</f>
        <v>High</v>
      </c>
      <c r="O164" t="str">
        <f>IF(user_behavior_dataset!$H164&gt;=1341,"Yes","No")</f>
        <v>Yes</v>
      </c>
      <c r="P164" t="str">
        <f>IF(user_behavior_dataset!$F164&gt;=2229,"Yes","No")</f>
        <v>No</v>
      </c>
    </row>
    <row r="165" spans="1:16" x14ac:dyDescent="0.3">
      <c r="A165">
        <v>164</v>
      </c>
      <c r="B165" t="s">
        <v>17</v>
      </c>
      <c r="C165" t="s">
        <v>18</v>
      </c>
      <c r="D165">
        <v>32</v>
      </c>
      <c r="E165">
        <v>2</v>
      </c>
      <c r="F165">
        <v>469</v>
      </c>
      <c r="G165">
        <v>18</v>
      </c>
      <c r="H165">
        <v>139</v>
      </c>
      <c r="I165">
        <v>22</v>
      </c>
      <c r="J165" t="str">
        <f t="shared" si="4"/>
        <v>&lt;25</v>
      </c>
      <c r="K165" t="s">
        <v>13</v>
      </c>
      <c r="L165">
        <v>1</v>
      </c>
      <c r="M165" t="str">
        <f t="shared" si="5"/>
        <v>No</v>
      </c>
      <c r="N165" t="str">
        <f>IF(user_behavior_dataset!$D165&lt;60,"Low",
IF(user_behavior_dataset!$D165&lt;=180,"Medium","High"))</f>
        <v>Low</v>
      </c>
      <c r="O165" t="str">
        <f>IF(user_behavior_dataset!$H165&gt;=1341,"Yes","No")</f>
        <v>No</v>
      </c>
      <c r="P165" t="str">
        <f>IF(user_behavior_dataset!$F165&gt;=2229,"Yes","No")</f>
        <v>No</v>
      </c>
    </row>
    <row r="166" spans="1:16" x14ac:dyDescent="0.3">
      <c r="A166">
        <v>165</v>
      </c>
      <c r="B166" t="s">
        <v>16</v>
      </c>
      <c r="C166" t="s">
        <v>12</v>
      </c>
      <c r="D166">
        <v>278</v>
      </c>
      <c r="E166">
        <v>4.8</v>
      </c>
      <c r="F166">
        <v>1238</v>
      </c>
      <c r="G166">
        <v>48</v>
      </c>
      <c r="H166">
        <v>851</v>
      </c>
      <c r="I166">
        <v>43</v>
      </c>
      <c r="J166" t="str">
        <f t="shared" si="4"/>
        <v>40+</v>
      </c>
      <c r="K166" t="s">
        <v>15</v>
      </c>
      <c r="L166">
        <v>3</v>
      </c>
      <c r="M166" t="str">
        <f t="shared" si="5"/>
        <v>Yes</v>
      </c>
      <c r="N166" t="str">
        <f>IF(user_behavior_dataset!$D166&lt;60,"Low",
IF(user_behavior_dataset!$D166&lt;=180,"Medium","High"))</f>
        <v>High</v>
      </c>
      <c r="O166" t="str">
        <f>IF(user_behavior_dataset!$H166&gt;=1341,"Yes","No")</f>
        <v>No</v>
      </c>
      <c r="P166" t="str">
        <f>IF(user_behavior_dataset!$F166&gt;=2229,"Yes","No")</f>
        <v>No</v>
      </c>
    </row>
    <row r="167" spans="1:16" x14ac:dyDescent="0.3">
      <c r="A167">
        <v>166</v>
      </c>
      <c r="B167" t="s">
        <v>16</v>
      </c>
      <c r="C167" t="s">
        <v>12</v>
      </c>
      <c r="D167">
        <v>540</v>
      </c>
      <c r="E167">
        <v>8.4</v>
      </c>
      <c r="F167">
        <v>2993</v>
      </c>
      <c r="G167">
        <v>98</v>
      </c>
      <c r="H167">
        <v>1540</v>
      </c>
      <c r="I167">
        <v>49</v>
      </c>
      <c r="J167" t="str">
        <f t="shared" si="4"/>
        <v>40+</v>
      </c>
      <c r="K167" t="s">
        <v>15</v>
      </c>
      <c r="L167">
        <v>5</v>
      </c>
      <c r="M167" t="str">
        <f t="shared" si="5"/>
        <v>Yes</v>
      </c>
      <c r="N167" t="str">
        <f>IF(user_behavior_dataset!$D167&lt;60,"Low",
IF(user_behavior_dataset!$D167&lt;=180,"Medium","High"))</f>
        <v>High</v>
      </c>
      <c r="O167" t="str">
        <f>IF(user_behavior_dataset!$H167&gt;=1341,"Yes","No")</f>
        <v>Yes</v>
      </c>
      <c r="P167" t="str">
        <f>IF(user_behavior_dataset!$F167&gt;=2229,"Yes","No")</f>
        <v>Yes</v>
      </c>
    </row>
    <row r="168" spans="1:16" x14ac:dyDescent="0.3">
      <c r="A168">
        <v>167</v>
      </c>
      <c r="B168" t="s">
        <v>11</v>
      </c>
      <c r="C168" t="s">
        <v>12</v>
      </c>
      <c r="D168">
        <v>595</v>
      </c>
      <c r="E168">
        <v>11.3</v>
      </c>
      <c r="F168">
        <v>2968</v>
      </c>
      <c r="G168">
        <v>88</v>
      </c>
      <c r="H168">
        <v>2366</v>
      </c>
      <c r="I168">
        <v>30</v>
      </c>
      <c r="J168" t="str">
        <f t="shared" si="4"/>
        <v>25–40</v>
      </c>
      <c r="K168" t="s">
        <v>13</v>
      </c>
      <c r="L168">
        <v>5</v>
      </c>
      <c r="M168" t="str">
        <f t="shared" si="5"/>
        <v>Yes</v>
      </c>
      <c r="N168" t="str">
        <f>IF(user_behavior_dataset!$D168&lt;60,"Low",
IF(user_behavior_dataset!$D168&lt;=180,"Medium","High"))</f>
        <v>High</v>
      </c>
      <c r="O168" t="str">
        <f>IF(user_behavior_dataset!$H168&gt;=1341,"Yes","No")</f>
        <v>Yes</v>
      </c>
      <c r="P168" t="str">
        <f>IF(user_behavior_dataset!$F168&gt;=2229,"Yes","No")</f>
        <v>Yes</v>
      </c>
    </row>
    <row r="169" spans="1:16" x14ac:dyDescent="0.3">
      <c r="A169">
        <v>168</v>
      </c>
      <c r="B169" t="s">
        <v>11</v>
      </c>
      <c r="C169" t="s">
        <v>12</v>
      </c>
      <c r="D169">
        <v>35</v>
      </c>
      <c r="E169">
        <v>1.5</v>
      </c>
      <c r="F169">
        <v>467</v>
      </c>
      <c r="G169">
        <v>10</v>
      </c>
      <c r="H169">
        <v>158</v>
      </c>
      <c r="I169">
        <v>58</v>
      </c>
      <c r="J169" t="str">
        <f t="shared" si="4"/>
        <v>40+</v>
      </c>
      <c r="K169" t="s">
        <v>13</v>
      </c>
      <c r="L169">
        <v>1</v>
      </c>
      <c r="M169" t="str">
        <f t="shared" si="5"/>
        <v>No</v>
      </c>
      <c r="N169" t="str">
        <f>IF(user_behavior_dataset!$D169&lt;60,"Low",
IF(user_behavior_dataset!$D169&lt;=180,"Medium","High"))</f>
        <v>Low</v>
      </c>
      <c r="O169" t="str">
        <f>IF(user_behavior_dataset!$H169&gt;=1341,"Yes","No")</f>
        <v>No</v>
      </c>
      <c r="P169" t="str">
        <f>IF(user_behavior_dataset!$F169&gt;=2229,"Yes","No")</f>
        <v>No</v>
      </c>
    </row>
    <row r="170" spans="1:16" x14ac:dyDescent="0.3">
      <c r="A170">
        <v>169</v>
      </c>
      <c r="B170" t="s">
        <v>11</v>
      </c>
      <c r="C170" t="s">
        <v>12</v>
      </c>
      <c r="D170">
        <v>225</v>
      </c>
      <c r="E170">
        <v>5.4</v>
      </c>
      <c r="F170">
        <v>1370</v>
      </c>
      <c r="G170">
        <v>44</v>
      </c>
      <c r="H170">
        <v>791</v>
      </c>
      <c r="I170">
        <v>55</v>
      </c>
      <c r="J170" t="str">
        <f t="shared" si="4"/>
        <v>40+</v>
      </c>
      <c r="K170" t="s">
        <v>15</v>
      </c>
      <c r="L170">
        <v>3</v>
      </c>
      <c r="M170" t="str">
        <f t="shared" si="5"/>
        <v>Yes</v>
      </c>
      <c r="N170" t="str">
        <f>IF(user_behavior_dataset!$D170&lt;60,"Low",
IF(user_behavior_dataset!$D170&lt;=180,"Medium","High"))</f>
        <v>High</v>
      </c>
      <c r="O170" t="str">
        <f>IF(user_behavior_dataset!$H170&gt;=1341,"Yes","No")</f>
        <v>No</v>
      </c>
      <c r="P170" t="str">
        <f>IF(user_behavior_dataset!$F170&gt;=2229,"Yes","No")</f>
        <v>No</v>
      </c>
    </row>
    <row r="171" spans="1:16" x14ac:dyDescent="0.3">
      <c r="A171">
        <v>170</v>
      </c>
      <c r="B171" t="s">
        <v>11</v>
      </c>
      <c r="C171" t="s">
        <v>12</v>
      </c>
      <c r="D171">
        <v>587</v>
      </c>
      <c r="E171">
        <v>11.8</v>
      </c>
      <c r="F171">
        <v>2431</v>
      </c>
      <c r="G171">
        <v>90</v>
      </c>
      <c r="H171">
        <v>1894</v>
      </c>
      <c r="I171">
        <v>47</v>
      </c>
      <c r="J171" t="str">
        <f t="shared" si="4"/>
        <v>40+</v>
      </c>
      <c r="K171" t="s">
        <v>13</v>
      </c>
      <c r="L171">
        <v>5</v>
      </c>
      <c r="M171" t="str">
        <f t="shared" si="5"/>
        <v>Yes</v>
      </c>
      <c r="N171" t="str">
        <f>IF(user_behavior_dataset!$D171&lt;60,"Low",
IF(user_behavior_dataset!$D171&lt;=180,"Medium","High"))</f>
        <v>High</v>
      </c>
      <c r="O171" t="str">
        <f>IF(user_behavior_dataset!$H171&gt;=1341,"Yes","No")</f>
        <v>Yes</v>
      </c>
      <c r="P171" t="str">
        <f>IF(user_behavior_dataset!$F171&gt;=2229,"Yes","No")</f>
        <v>Yes</v>
      </c>
    </row>
    <row r="172" spans="1:16" x14ac:dyDescent="0.3">
      <c r="A172">
        <v>171</v>
      </c>
      <c r="B172" t="s">
        <v>16</v>
      </c>
      <c r="C172" t="s">
        <v>12</v>
      </c>
      <c r="D172">
        <v>92</v>
      </c>
      <c r="E172">
        <v>3.7</v>
      </c>
      <c r="F172">
        <v>1124</v>
      </c>
      <c r="G172">
        <v>27</v>
      </c>
      <c r="H172">
        <v>524</v>
      </c>
      <c r="I172">
        <v>44</v>
      </c>
      <c r="J172" t="str">
        <f t="shared" si="4"/>
        <v>40+</v>
      </c>
      <c r="K172" t="s">
        <v>13</v>
      </c>
      <c r="L172">
        <v>2</v>
      </c>
      <c r="M172" t="str">
        <f t="shared" si="5"/>
        <v>Yes</v>
      </c>
      <c r="N172" t="str">
        <f>IF(user_behavior_dataset!$D172&lt;60,"Low",
IF(user_behavior_dataset!$D172&lt;=180,"Medium","High"))</f>
        <v>Medium</v>
      </c>
      <c r="O172" t="str">
        <f>IF(user_behavior_dataset!$H172&gt;=1341,"Yes","No")</f>
        <v>No</v>
      </c>
      <c r="P172" t="str">
        <f>IF(user_behavior_dataset!$F172&gt;=2229,"Yes","No")</f>
        <v>No</v>
      </c>
    </row>
    <row r="173" spans="1:16" x14ac:dyDescent="0.3">
      <c r="A173">
        <v>172</v>
      </c>
      <c r="B173" t="s">
        <v>11</v>
      </c>
      <c r="C173" t="s">
        <v>12</v>
      </c>
      <c r="D173">
        <v>46</v>
      </c>
      <c r="E173">
        <v>1.1000000000000001</v>
      </c>
      <c r="F173">
        <v>487</v>
      </c>
      <c r="G173">
        <v>17</v>
      </c>
      <c r="H173">
        <v>208</v>
      </c>
      <c r="I173">
        <v>23</v>
      </c>
      <c r="J173" t="str">
        <f t="shared" si="4"/>
        <v>&lt;25</v>
      </c>
      <c r="K173" t="s">
        <v>13</v>
      </c>
      <c r="L173">
        <v>1</v>
      </c>
      <c r="M173" t="str">
        <f t="shared" si="5"/>
        <v>No</v>
      </c>
      <c r="N173" t="str">
        <f>IF(user_behavior_dataset!$D173&lt;60,"Low",
IF(user_behavior_dataset!$D173&lt;=180,"Medium","High"))</f>
        <v>Low</v>
      </c>
      <c r="O173" t="str">
        <f>IF(user_behavior_dataset!$H173&gt;=1341,"Yes","No")</f>
        <v>No</v>
      </c>
      <c r="P173" t="str">
        <f>IF(user_behavior_dataset!$F173&gt;=2229,"Yes","No")</f>
        <v>No</v>
      </c>
    </row>
    <row r="174" spans="1:16" x14ac:dyDescent="0.3">
      <c r="A174">
        <v>173</v>
      </c>
      <c r="B174" t="s">
        <v>14</v>
      </c>
      <c r="C174" t="s">
        <v>12</v>
      </c>
      <c r="D174">
        <v>153</v>
      </c>
      <c r="E174">
        <v>2.8</v>
      </c>
      <c r="F174">
        <v>935</v>
      </c>
      <c r="G174">
        <v>25</v>
      </c>
      <c r="H174">
        <v>578</v>
      </c>
      <c r="I174">
        <v>37</v>
      </c>
      <c r="J174" t="str">
        <f t="shared" si="4"/>
        <v>25–40</v>
      </c>
      <c r="K174" t="s">
        <v>15</v>
      </c>
      <c r="L174">
        <v>2</v>
      </c>
      <c r="M174" t="str">
        <f t="shared" si="5"/>
        <v>Yes</v>
      </c>
      <c r="N174" t="str">
        <f>IF(user_behavior_dataset!$D174&lt;60,"Low",
IF(user_behavior_dataset!$D174&lt;=180,"Medium","High"))</f>
        <v>Medium</v>
      </c>
      <c r="O174" t="str">
        <f>IF(user_behavior_dataset!$H174&gt;=1341,"Yes","No")</f>
        <v>No</v>
      </c>
      <c r="P174" t="str">
        <f>IF(user_behavior_dataset!$F174&gt;=2229,"Yes","No")</f>
        <v>No</v>
      </c>
    </row>
    <row r="175" spans="1:16" x14ac:dyDescent="0.3">
      <c r="A175">
        <v>174</v>
      </c>
      <c r="B175" t="s">
        <v>17</v>
      </c>
      <c r="C175" t="s">
        <v>18</v>
      </c>
      <c r="D175">
        <v>368</v>
      </c>
      <c r="E175">
        <v>6.6</v>
      </c>
      <c r="F175">
        <v>1817</v>
      </c>
      <c r="G175">
        <v>72</v>
      </c>
      <c r="H175">
        <v>1406</v>
      </c>
      <c r="I175">
        <v>27</v>
      </c>
      <c r="J175" t="str">
        <f t="shared" si="4"/>
        <v>25–40</v>
      </c>
      <c r="K175" t="s">
        <v>15</v>
      </c>
      <c r="L175">
        <v>4</v>
      </c>
      <c r="M175" t="str">
        <f t="shared" si="5"/>
        <v>Yes</v>
      </c>
      <c r="N175" t="str">
        <f>IF(user_behavior_dataset!$D175&lt;60,"Low",
IF(user_behavior_dataset!$D175&lt;=180,"Medium","High"))</f>
        <v>High</v>
      </c>
      <c r="O175" t="str">
        <f>IF(user_behavior_dataset!$H175&gt;=1341,"Yes","No")</f>
        <v>Yes</v>
      </c>
      <c r="P175" t="str">
        <f>IF(user_behavior_dataset!$F175&gt;=2229,"Yes","No")</f>
        <v>No</v>
      </c>
    </row>
    <row r="176" spans="1:16" x14ac:dyDescent="0.3">
      <c r="A176">
        <v>175</v>
      </c>
      <c r="B176" t="s">
        <v>16</v>
      </c>
      <c r="C176" t="s">
        <v>12</v>
      </c>
      <c r="D176">
        <v>51</v>
      </c>
      <c r="E176">
        <v>1.6</v>
      </c>
      <c r="F176">
        <v>509</v>
      </c>
      <c r="G176">
        <v>11</v>
      </c>
      <c r="H176">
        <v>113</v>
      </c>
      <c r="I176">
        <v>29</v>
      </c>
      <c r="J176" t="str">
        <f t="shared" si="4"/>
        <v>25–40</v>
      </c>
      <c r="K176" t="s">
        <v>15</v>
      </c>
      <c r="L176">
        <v>1</v>
      </c>
      <c r="M176" t="str">
        <f t="shared" si="5"/>
        <v>No</v>
      </c>
      <c r="N176" t="str">
        <f>IF(user_behavior_dataset!$D176&lt;60,"Low",
IF(user_behavior_dataset!$D176&lt;=180,"Medium","High"))</f>
        <v>Low</v>
      </c>
      <c r="O176" t="str">
        <f>IF(user_behavior_dataset!$H176&gt;=1341,"Yes","No")</f>
        <v>No</v>
      </c>
      <c r="P176" t="str">
        <f>IF(user_behavior_dataset!$F176&gt;=2229,"Yes","No")</f>
        <v>No</v>
      </c>
    </row>
    <row r="177" spans="1:16" x14ac:dyDescent="0.3">
      <c r="A177">
        <v>176</v>
      </c>
      <c r="B177" t="s">
        <v>11</v>
      </c>
      <c r="C177" t="s">
        <v>12</v>
      </c>
      <c r="D177">
        <v>279</v>
      </c>
      <c r="E177">
        <v>5.2</v>
      </c>
      <c r="F177">
        <v>1660</v>
      </c>
      <c r="G177">
        <v>47</v>
      </c>
      <c r="H177">
        <v>629</v>
      </c>
      <c r="I177">
        <v>50</v>
      </c>
      <c r="J177" t="str">
        <f t="shared" si="4"/>
        <v>40+</v>
      </c>
      <c r="K177" t="s">
        <v>15</v>
      </c>
      <c r="L177">
        <v>3</v>
      </c>
      <c r="M177" t="str">
        <f t="shared" si="5"/>
        <v>Yes</v>
      </c>
      <c r="N177" t="str">
        <f>IF(user_behavior_dataset!$D177&lt;60,"Low",
IF(user_behavior_dataset!$D177&lt;=180,"Medium","High"))</f>
        <v>High</v>
      </c>
      <c r="O177" t="str">
        <f>IF(user_behavior_dataset!$H177&gt;=1341,"Yes","No")</f>
        <v>No</v>
      </c>
      <c r="P177" t="str">
        <f>IF(user_behavior_dataset!$F177&gt;=2229,"Yes","No")</f>
        <v>No</v>
      </c>
    </row>
    <row r="178" spans="1:16" x14ac:dyDescent="0.3">
      <c r="A178">
        <v>177</v>
      </c>
      <c r="B178" t="s">
        <v>16</v>
      </c>
      <c r="C178" t="s">
        <v>12</v>
      </c>
      <c r="D178">
        <v>255</v>
      </c>
      <c r="E178">
        <v>5.4</v>
      </c>
      <c r="F178">
        <v>1738</v>
      </c>
      <c r="G178">
        <v>42</v>
      </c>
      <c r="H178">
        <v>826</v>
      </c>
      <c r="I178">
        <v>21</v>
      </c>
      <c r="J178" t="str">
        <f t="shared" si="4"/>
        <v>&lt;25</v>
      </c>
      <c r="K178" t="s">
        <v>13</v>
      </c>
      <c r="L178">
        <v>3</v>
      </c>
      <c r="M178" t="str">
        <f t="shared" si="5"/>
        <v>Yes</v>
      </c>
      <c r="N178" t="str">
        <f>IF(user_behavior_dataset!$D178&lt;60,"Low",
IF(user_behavior_dataset!$D178&lt;=180,"Medium","High"))</f>
        <v>High</v>
      </c>
      <c r="O178" t="str">
        <f>IF(user_behavior_dataset!$H178&gt;=1341,"Yes","No")</f>
        <v>No</v>
      </c>
      <c r="P178" t="str">
        <f>IF(user_behavior_dataset!$F178&gt;=2229,"Yes","No")</f>
        <v>No</v>
      </c>
    </row>
    <row r="179" spans="1:16" x14ac:dyDescent="0.3">
      <c r="A179">
        <v>178</v>
      </c>
      <c r="B179" t="s">
        <v>19</v>
      </c>
      <c r="C179" t="s">
        <v>12</v>
      </c>
      <c r="D179">
        <v>193</v>
      </c>
      <c r="E179">
        <v>5.7</v>
      </c>
      <c r="F179">
        <v>1471</v>
      </c>
      <c r="G179">
        <v>51</v>
      </c>
      <c r="H179">
        <v>972</v>
      </c>
      <c r="I179">
        <v>31</v>
      </c>
      <c r="J179" t="str">
        <f t="shared" si="4"/>
        <v>25–40</v>
      </c>
      <c r="K179" t="s">
        <v>15</v>
      </c>
      <c r="L179">
        <v>3</v>
      </c>
      <c r="M179" t="str">
        <f t="shared" si="5"/>
        <v>Yes</v>
      </c>
      <c r="N179" t="str">
        <f>IF(user_behavior_dataset!$D179&lt;60,"Low",
IF(user_behavior_dataset!$D179&lt;=180,"Medium","High"))</f>
        <v>High</v>
      </c>
      <c r="O179" t="str">
        <f>IF(user_behavior_dataset!$H179&gt;=1341,"Yes","No")</f>
        <v>No</v>
      </c>
      <c r="P179" t="str">
        <f>IF(user_behavior_dataset!$F179&gt;=2229,"Yes","No")</f>
        <v>No</v>
      </c>
    </row>
    <row r="180" spans="1:16" x14ac:dyDescent="0.3">
      <c r="A180">
        <v>179</v>
      </c>
      <c r="B180" t="s">
        <v>16</v>
      </c>
      <c r="C180" t="s">
        <v>12</v>
      </c>
      <c r="D180">
        <v>207</v>
      </c>
      <c r="E180">
        <v>5.7</v>
      </c>
      <c r="F180">
        <v>1582</v>
      </c>
      <c r="G180">
        <v>52</v>
      </c>
      <c r="H180">
        <v>692</v>
      </c>
      <c r="I180">
        <v>38</v>
      </c>
      <c r="J180" t="str">
        <f t="shared" si="4"/>
        <v>25–40</v>
      </c>
      <c r="K180" t="s">
        <v>13</v>
      </c>
      <c r="L180">
        <v>3</v>
      </c>
      <c r="M180" t="str">
        <f t="shared" si="5"/>
        <v>Yes</v>
      </c>
      <c r="N180" t="str">
        <f>IF(user_behavior_dataset!$D180&lt;60,"Low",
IF(user_behavior_dataset!$D180&lt;=180,"Medium","High"))</f>
        <v>High</v>
      </c>
      <c r="O180" t="str">
        <f>IF(user_behavior_dataset!$H180&gt;=1341,"Yes","No")</f>
        <v>No</v>
      </c>
      <c r="P180" t="str">
        <f>IF(user_behavior_dataset!$F180&gt;=2229,"Yes","No")</f>
        <v>No</v>
      </c>
    </row>
    <row r="181" spans="1:16" x14ac:dyDescent="0.3">
      <c r="A181">
        <v>180</v>
      </c>
      <c r="B181" t="s">
        <v>17</v>
      </c>
      <c r="C181" t="s">
        <v>18</v>
      </c>
      <c r="D181">
        <v>539</v>
      </c>
      <c r="E181">
        <v>11.9</v>
      </c>
      <c r="F181">
        <v>2853</v>
      </c>
      <c r="G181">
        <v>83</v>
      </c>
      <c r="H181">
        <v>2007</v>
      </c>
      <c r="I181">
        <v>55</v>
      </c>
      <c r="J181" t="str">
        <f t="shared" si="4"/>
        <v>40+</v>
      </c>
      <c r="K181" t="s">
        <v>13</v>
      </c>
      <c r="L181">
        <v>5</v>
      </c>
      <c r="M181" t="str">
        <f t="shared" si="5"/>
        <v>Yes</v>
      </c>
      <c r="N181" t="str">
        <f>IF(user_behavior_dataset!$D181&lt;60,"Low",
IF(user_behavior_dataset!$D181&lt;=180,"Medium","High"))</f>
        <v>High</v>
      </c>
      <c r="O181" t="str">
        <f>IF(user_behavior_dataset!$H181&gt;=1341,"Yes","No")</f>
        <v>Yes</v>
      </c>
      <c r="P181" t="str">
        <f>IF(user_behavior_dataset!$F181&gt;=2229,"Yes","No")</f>
        <v>Yes</v>
      </c>
    </row>
    <row r="182" spans="1:16" x14ac:dyDescent="0.3">
      <c r="A182">
        <v>181</v>
      </c>
      <c r="B182" t="s">
        <v>14</v>
      </c>
      <c r="C182" t="s">
        <v>12</v>
      </c>
      <c r="D182">
        <v>151</v>
      </c>
      <c r="E182">
        <v>2.4</v>
      </c>
      <c r="F182">
        <v>1124</v>
      </c>
      <c r="G182">
        <v>38</v>
      </c>
      <c r="H182">
        <v>571</v>
      </c>
      <c r="I182">
        <v>33</v>
      </c>
      <c r="J182" t="str">
        <f t="shared" si="4"/>
        <v>25–40</v>
      </c>
      <c r="K182" t="s">
        <v>13</v>
      </c>
      <c r="L182">
        <v>2</v>
      </c>
      <c r="M182" t="str">
        <f t="shared" si="5"/>
        <v>Yes</v>
      </c>
      <c r="N182" t="str">
        <f>IF(user_behavior_dataset!$D182&lt;60,"Low",
IF(user_behavior_dataset!$D182&lt;=180,"Medium","High"))</f>
        <v>Medium</v>
      </c>
      <c r="O182" t="str">
        <f>IF(user_behavior_dataset!$H182&gt;=1341,"Yes","No")</f>
        <v>No</v>
      </c>
      <c r="P182" t="str">
        <f>IF(user_behavior_dataset!$F182&gt;=2229,"Yes","No")</f>
        <v>No</v>
      </c>
    </row>
    <row r="183" spans="1:16" x14ac:dyDescent="0.3">
      <c r="A183">
        <v>182</v>
      </c>
      <c r="B183" t="s">
        <v>11</v>
      </c>
      <c r="C183" t="s">
        <v>12</v>
      </c>
      <c r="D183">
        <v>474</v>
      </c>
      <c r="E183">
        <v>6.4</v>
      </c>
      <c r="F183">
        <v>2109</v>
      </c>
      <c r="G183">
        <v>68</v>
      </c>
      <c r="H183">
        <v>1079</v>
      </c>
      <c r="I183">
        <v>24</v>
      </c>
      <c r="J183" t="str">
        <f t="shared" si="4"/>
        <v>&lt;25</v>
      </c>
      <c r="K183" t="s">
        <v>13</v>
      </c>
      <c r="L183">
        <v>4</v>
      </c>
      <c r="M183" t="str">
        <f t="shared" si="5"/>
        <v>Yes</v>
      </c>
      <c r="N183" t="str">
        <f>IF(user_behavior_dataset!$D183&lt;60,"Low",
IF(user_behavior_dataset!$D183&lt;=180,"Medium","High"))</f>
        <v>High</v>
      </c>
      <c r="O183" t="str">
        <f>IF(user_behavior_dataset!$H183&gt;=1341,"Yes","No")</f>
        <v>No</v>
      </c>
      <c r="P183" t="str">
        <f>IF(user_behavior_dataset!$F183&gt;=2229,"Yes","No")</f>
        <v>No</v>
      </c>
    </row>
    <row r="184" spans="1:16" x14ac:dyDescent="0.3">
      <c r="A184">
        <v>183</v>
      </c>
      <c r="B184" t="s">
        <v>17</v>
      </c>
      <c r="C184" t="s">
        <v>18</v>
      </c>
      <c r="D184">
        <v>544</v>
      </c>
      <c r="E184">
        <v>9.1999999999999993</v>
      </c>
      <c r="F184">
        <v>2936</v>
      </c>
      <c r="G184">
        <v>83</v>
      </c>
      <c r="H184">
        <v>2416</v>
      </c>
      <c r="I184">
        <v>47</v>
      </c>
      <c r="J184" t="str">
        <f t="shared" si="4"/>
        <v>40+</v>
      </c>
      <c r="K184" t="s">
        <v>15</v>
      </c>
      <c r="L184">
        <v>5</v>
      </c>
      <c r="M184" t="str">
        <f t="shared" si="5"/>
        <v>Yes</v>
      </c>
      <c r="N184" t="str">
        <f>IF(user_behavior_dataset!$D184&lt;60,"Low",
IF(user_behavior_dataset!$D184&lt;=180,"Medium","High"))</f>
        <v>High</v>
      </c>
      <c r="O184" t="str">
        <f>IF(user_behavior_dataset!$H184&gt;=1341,"Yes","No")</f>
        <v>Yes</v>
      </c>
      <c r="P184" t="str">
        <f>IF(user_behavior_dataset!$F184&gt;=2229,"Yes","No")</f>
        <v>Yes</v>
      </c>
    </row>
    <row r="185" spans="1:16" x14ac:dyDescent="0.3">
      <c r="A185">
        <v>184</v>
      </c>
      <c r="B185" t="s">
        <v>17</v>
      </c>
      <c r="C185" t="s">
        <v>18</v>
      </c>
      <c r="D185">
        <v>73</v>
      </c>
      <c r="E185">
        <v>1.2</v>
      </c>
      <c r="F185">
        <v>308</v>
      </c>
      <c r="G185">
        <v>15</v>
      </c>
      <c r="H185">
        <v>275</v>
      </c>
      <c r="I185">
        <v>39</v>
      </c>
      <c r="J185" t="str">
        <f t="shared" si="4"/>
        <v>25–40</v>
      </c>
      <c r="K185" t="s">
        <v>15</v>
      </c>
      <c r="L185">
        <v>1</v>
      </c>
      <c r="M185" t="str">
        <f t="shared" si="5"/>
        <v>Yes</v>
      </c>
      <c r="N185" t="str">
        <f>IF(user_behavior_dataset!$D185&lt;60,"Low",
IF(user_behavior_dataset!$D185&lt;=180,"Medium","High"))</f>
        <v>Medium</v>
      </c>
      <c r="O185" t="str">
        <f>IF(user_behavior_dataset!$H185&gt;=1341,"Yes","No")</f>
        <v>No</v>
      </c>
      <c r="P185" t="str">
        <f>IF(user_behavior_dataset!$F185&gt;=2229,"Yes","No")</f>
        <v>No</v>
      </c>
    </row>
    <row r="186" spans="1:16" x14ac:dyDescent="0.3">
      <c r="A186">
        <v>185</v>
      </c>
      <c r="B186" t="s">
        <v>16</v>
      </c>
      <c r="C186" t="s">
        <v>12</v>
      </c>
      <c r="D186">
        <v>597</v>
      </c>
      <c r="E186">
        <v>10.4</v>
      </c>
      <c r="F186">
        <v>2984</v>
      </c>
      <c r="G186">
        <v>91</v>
      </c>
      <c r="H186">
        <v>1564</v>
      </c>
      <c r="I186">
        <v>34</v>
      </c>
      <c r="J186" t="str">
        <f t="shared" si="4"/>
        <v>25–40</v>
      </c>
      <c r="K186" t="s">
        <v>15</v>
      </c>
      <c r="L186">
        <v>5</v>
      </c>
      <c r="M186" t="str">
        <f t="shared" si="5"/>
        <v>Yes</v>
      </c>
      <c r="N186" t="str">
        <f>IF(user_behavior_dataset!$D186&lt;60,"Low",
IF(user_behavior_dataset!$D186&lt;=180,"Medium","High"))</f>
        <v>High</v>
      </c>
      <c r="O186" t="str">
        <f>IF(user_behavior_dataset!$H186&gt;=1341,"Yes","No")</f>
        <v>Yes</v>
      </c>
      <c r="P186" t="str">
        <f>IF(user_behavior_dataset!$F186&gt;=2229,"Yes","No")</f>
        <v>Yes</v>
      </c>
    </row>
    <row r="187" spans="1:16" x14ac:dyDescent="0.3">
      <c r="A187">
        <v>186</v>
      </c>
      <c r="B187" t="s">
        <v>11</v>
      </c>
      <c r="C187" t="s">
        <v>12</v>
      </c>
      <c r="D187">
        <v>498</v>
      </c>
      <c r="E187">
        <v>10.7</v>
      </c>
      <c r="F187">
        <v>2738</v>
      </c>
      <c r="G187">
        <v>94</v>
      </c>
      <c r="H187">
        <v>1995</v>
      </c>
      <c r="I187">
        <v>42</v>
      </c>
      <c r="J187" t="str">
        <f t="shared" si="4"/>
        <v>40+</v>
      </c>
      <c r="K187" t="s">
        <v>13</v>
      </c>
      <c r="L187">
        <v>5</v>
      </c>
      <c r="M187" t="str">
        <f t="shared" si="5"/>
        <v>Yes</v>
      </c>
      <c r="N187" t="str">
        <f>IF(user_behavior_dataset!$D187&lt;60,"Low",
IF(user_behavior_dataset!$D187&lt;=180,"Medium","High"))</f>
        <v>High</v>
      </c>
      <c r="O187" t="str">
        <f>IF(user_behavior_dataset!$H187&gt;=1341,"Yes","No")</f>
        <v>Yes</v>
      </c>
      <c r="P187" t="str">
        <f>IF(user_behavior_dataset!$F187&gt;=2229,"Yes","No")</f>
        <v>Yes</v>
      </c>
    </row>
    <row r="188" spans="1:16" x14ac:dyDescent="0.3">
      <c r="A188">
        <v>187</v>
      </c>
      <c r="B188" t="s">
        <v>17</v>
      </c>
      <c r="C188" t="s">
        <v>18</v>
      </c>
      <c r="D188">
        <v>402</v>
      </c>
      <c r="E188">
        <v>7.8</v>
      </c>
      <c r="F188">
        <v>2014</v>
      </c>
      <c r="G188">
        <v>79</v>
      </c>
      <c r="H188">
        <v>1088</v>
      </c>
      <c r="I188">
        <v>34</v>
      </c>
      <c r="J188" t="str">
        <f t="shared" si="4"/>
        <v>25–40</v>
      </c>
      <c r="K188" t="s">
        <v>15</v>
      </c>
      <c r="L188">
        <v>4</v>
      </c>
      <c r="M188" t="str">
        <f t="shared" si="5"/>
        <v>Yes</v>
      </c>
      <c r="N188" t="str">
        <f>IF(user_behavior_dataset!$D188&lt;60,"Low",
IF(user_behavior_dataset!$D188&lt;=180,"Medium","High"))</f>
        <v>High</v>
      </c>
      <c r="O188" t="str">
        <f>IF(user_behavior_dataset!$H188&gt;=1341,"Yes","No")</f>
        <v>No</v>
      </c>
      <c r="P188" t="str">
        <f>IF(user_behavior_dataset!$F188&gt;=2229,"Yes","No")</f>
        <v>No</v>
      </c>
    </row>
    <row r="189" spans="1:16" x14ac:dyDescent="0.3">
      <c r="A189">
        <v>188</v>
      </c>
      <c r="B189" t="s">
        <v>14</v>
      </c>
      <c r="C189" t="s">
        <v>12</v>
      </c>
      <c r="D189">
        <v>75</v>
      </c>
      <c r="E189">
        <v>1.1000000000000001</v>
      </c>
      <c r="F189">
        <v>379</v>
      </c>
      <c r="G189">
        <v>15</v>
      </c>
      <c r="H189">
        <v>185</v>
      </c>
      <c r="I189">
        <v>37</v>
      </c>
      <c r="J189" t="str">
        <f t="shared" si="4"/>
        <v>25–40</v>
      </c>
      <c r="K189" t="s">
        <v>13</v>
      </c>
      <c r="L189">
        <v>1</v>
      </c>
      <c r="M189" t="str">
        <f t="shared" si="5"/>
        <v>Yes</v>
      </c>
      <c r="N189" t="str">
        <f>IF(user_behavior_dataset!$D189&lt;60,"Low",
IF(user_behavior_dataset!$D189&lt;=180,"Medium","High"))</f>
        <v>Medium</v>
      </c>
      <c r="O189" t="str">
        <f>IF(user_behavior_dataset!$H189&gt;=1341,"Yes","No")</f>
        <v>No</v>
      </c>
      <c r="P189" t="str">
        <f>IF(user_behavior_dataset!$F189&gt;=2229,"Yes","No")</f>
        <v>No</v>
      </c>
    </row>
    <row r="190" spans="1:16" x14ac:dyDescent="0.3">
      <c r="A190">
        <v>189</v>
      </c>
      <c r="B190" t="s">
        <v>17</v>
      </c>
      <c r="C190" t="s">
        <v>18</v>
      </c>
      <c r="D190">
        <v>130</v>
      </c>
      <c r="E190">
        <v>2</v>
      </c>
      <c r="F190">
        <v>602</v>
      </c>
      <c r="G190">
        <v>21</v>
      </c>
      <c r="H190">
        <v>589</v>
      </c>
      <c r="I190">
        <v>30</v>
      </c>
      <c r="J190" t="str">
        <f t="shared" si="4"/>
        <v>25–40</v>
      </c>
      <c r="K190" t="s">
        <v>15</v>
      </c>
      <c r="L190">
        <v>2</v>
      </c>
      <c r="M190" t="str">
        <f t="shared" si="5"/>
        <v>Yes</v>
      </c>
      <c r="N190" t="str">
        <f>IF(user_behavior_dataset!$D190&lt;60,"Low",
IF(user_behavior_dataset!$D190&lt;=180,"Medium","High"))</f>
        <v>Medium</v>
      </c>
      <c r="O190" t="str">
        <f>IF(user_behavior_dataset!$H190&gt;=1341,"Yes","No")</f>
        <v>No</v>
      </c>
      <c r="P190" t="str">
        <f>IF(user_behavior_dataset!$F190&gt;=2229,"Yes","No")</f>
        <v>No</v>
      </c>
    </row>
    <row r="191" spans="1:16" x14ac:dyDescent="0.3">
      <c r="A191">
        <v>190</v>
      </c>
      <c r="B191" t="s">
        <v>19</v>
      </c>
      <c r="C191" t="s">
        <v>12</v>
      </c>
      <c r="D191">
        <v>42</v>
      </c>
      <c r="E191">
        <v>1.1000000000000001</v>
      </c>
      <c r="F191">
        <v>402</v>
      </c>
      <c r="G191">
        <v>11</v>
      </c>
      <c r="H191">
        <v>265</v>
      </c>
      <c r="I191">
        <v>32</v>
      </c>
      <c r="J191" t="str">
        <f t="shared" si="4"/>
        <v>25–40</v>
      </c>
      <c r="K191" t="s">
        <v>15</v>
      </c>
      <c r="L191">
        <v>1</v>
      </c>
      <c r="M191" t="str">
        <f t="shared" si="5"/>
        <v>No</v>
      </c>
      <c r="N191" t="str">
        <f>IF(user_behavior_dataset!$D191&lt;60,"Low",
IF(user_behavior_dataset!$D191&lt;=180,"Medium","High"))</f>
        <v>Low</v>
      </c>
      <c r="O191" t="str">
        <f>IF(user_behavior_dataset!$H191&gt;=1341,"Yes","No")</f>
        <v>No</v>
      </c>
      <c r="P191" t="str">
        <f>IF(user_behavior_dataset!$F191&gt;=2229,"Yes","No")</f>
        <v>No</v>
      </c>
    </row>
    <row r="192" spans="1:16" x14ac:dyDescent="0.3">
      <c r="A192">
        <v>191</v>
      </c>
      <c r="B192" t="s">
        <v>17</v>
      </c>
      <c r="C192" t="s">
        <v>18</v>
      </c>
      <c r="D192">
        <v>134</v>
      </c>
      <c r="E192">
        <v>2.2000000000000002</v>
      </c>
      <c r="F192">
        <v>917</v>
      </c>
      <c r="G192">
        <v>23</v>
      </c>
      <c r="H192">
        <v>423</v>
      </c>
      <c r="I192">
        <v>23</v>
      </c>
      <c r="J192" t="str">
        <f t="shared" si="4"/>
        <v>&lt;25</v>
      </c>
      <c r="K192" t="s">
        <v>13</v>
      </c>
      <c r="L192">
        <v>2</v>
      </c>
      <c r="M192" t="str">
        <f t="shared" si="5"/>
        <v>Yes</v>
      </c>
      <c r="N192" t="str">
        <f>IF(user_behavior_dataset!$D192&lt;60,"Low",
IF(user_behavior_dataset!$D192&lt;=180,"Medium","High"))</f>
        <v>Medium</v>
      </c>
      <c r="O192" t="str">
        <f>IF(user_behavior_dataset!$H192&gt;=1341,"Yes","No")</f>
        <v>No</v>
      </c>
      <c r="P192" t="str">
        <f>IF(user_behavior_dataset!$F192&gt;=2229,"Yes","No")</f>
        <v>No</v>
      </c>
    </row>
    <row r="193" spans="1:16" x14ac:dyDescent="0.3">
      <c r="A193">
        <v>192</v>
      </c>
      <c r="B193" t="s">
        <v>11</v>
      </c>
      <c r="C193" t="s">
        <v>12</v>
      </c>
      <c r="D193">
        <v>79</v>
      </c>
      <c r="E193">
        <v>1.9</v>
      </c>
      <c r="F193">
        <v>477</v>
      </c>
      <c r="G193">
        <v>13</v>
      </c>
      <c r="H193">
        <v>161</v>
      </c>
      <c r="I193">
        <v>24</v>
      </c>
      <c r="J193" t="str">
        <f t="shared" si="4"/>
        <v>&lt;25</v>
      </c>
      <c r="K193" t="s">
        <v>13</v>
      </c>
      <c r="L193">
        <v>1</v>
      </c>
      <c r="M193" t="str">
        <f t="shared" si="5"/>
        <v>Yes</v>
      </c>
      <c r="N193" t="str">
        <f>IF(user_behavior_dataset!$D193&lt;60,"Low",
IF(user_behavior_dataset!$D193&lt;=180,"Medium","High"))</f>
        <v>Medium</v>
      </c>
      <c r="O193" t="str">
        <f>IF(user_behavior_dataset!$H193&gt;=1341,"Yes","No")</f>
        <v>No</v>
      </c>
      <c r="P193" t="str">
        <f>IF(user_behavior_dataset!$F193&gt;=2229,"Yes","No")</f>
        <v>No</v>
      </c>
    </row>
    <row r="194" spans="1:16" x14ac:dyDescent="0.3">
      <c r="A194">
        <v>193</v>
      </c>
      <c r="B194" t="s">
        <v>17</v>
      </c>
      <c r="C194" t="s">
        <v>18</v>
      </c>
      <c r="D194">
        <v>432</v>
      </c>
      <c r="E194">
        <v>7.2</v>
      </c>
      <c r="F194">
        <v>1822</v>
      </c>
      <c r="G194">
        <v>63</v>
      </c>
      <c r="H194">
        <v>1127</v>
      </c>
      <c r="I194">
        <v>59</v>
      </c>
      <c r="J194" t="str">
        <f t="shared" si="4"/>
        <v>40+</v>
      </c>
      <c r="K194" t="s">
        <v>15</v>
      </c>
      <c r="L194">
        <v>4</v>
      </c>
      <c r="M194" t="str">
        <f t="shared" si="5"/>
        <v>Yes</v>
      </c>
      <c r="N194" t="str">
        <f>IF(user_behavior_dataset!$D194&lt;60,"Low",
IF(user_behavior_dataset!$D194&lt;=180,"Medium","High"))</f>
        <v>High</v>
      </c>
      <c r="O194" t="str">
        <f>IF(user_behavior_dataset!$H194&gt;=1341,"Yes","No")</f>
        <v>No</v>
      </c>
      <c r="P194" t="str">
        <f>IF(user_behavior_dataset!$F194&gt;=2229,"Yes","No")</f>
        <v>No</v>
      </c>
    </row>
    <row r="195" spans="1:16" x14ac:dyDescent="0.3">
      <c r="A195">
        <v>194</v>
      </c>
      <c r="B195" t="s">
        <v>17</v>
      </c>
      <c r="C195" t="s">
        <v>18</v>
      </c>
      <c r="D195">
        <v>262</v>
      </c>
      <c r="E195">
        <v>4.0999999999999996</v>
      </c>
      <c r="F195">
        <v>1287</v>
      </c>
      <c r="G195">
        <v>52</v>
      </c>
      <c r="H195">
        <v>997</v>
      </c>
      <c r="I195">
        <v>36</v>
      </c>
      <c r="J195" t="str">
        <f t="shared" ref="J195:J258" si="6">IF(I195="","Unknown",IF(I195&lt;25,"&lt;25",IF(I195&lt;=40,"25–40","40+")))</f>
        <v>25–40</v>
      </c>
      <c r="K195" t="s">
        <v>13</v>
      </c>
      <c r="L195">
        <v>3</v>
      </c>
      <c r="M195" t="str">
        <f t="shared" ref="M195:M258" si="7">IF(D195&gt;=60,"Yes","No")</f>
        <v>Yes</v>
      </c>
      <c r="N195" t="str">
        <f>IF(user_behavior_dataset!$D195&lt;60,"Low",
IF(user_behavior_dataset!$D195&lt;=180,"Medium","High"))</f>
        <v>High</v>
      </c>
      <c r="O195" t="str">
        <f>IF(user_behavior_dataset!$H195&gt;=1341,"Yes","No")</f>
        <v>No</v>
      </c>
      <c r="P195" t="str">
        <f>IF(user_behavior_dataset!$F195&gt;=2229,"Yes","No")</f>
        <v>No</v>
      </c>
    </row>
    <row r="196" spans="1:16" x14ac:dyDescent="0.3">
      <c r="A196">
        <v>195</v>
      </c>
      <c r="B196" t="s">
        <v>19</v>
      </c>
      <c r="C196" t="s">
        <v>12</v>
      </c>
      <c r="D196">
        <v>473</v>
      </c>
      <c r="E196">
        <v>6.4</v>
      </c>
      <c r="F196">
        <v>2109</v>
      </c>
      <c r="G196">
        <v>79</v>
      </c>
      <c r="H196">
        <v>1300</v>
      </c>
      <c r="I196">
        <v>23</v>
      </c>
      <c r="J196" t="str">
        <f t="shared" si="6"/>
        <v>&lt;25</v>
      </c>
      <c r="K196" t="s">
        <v>15</v>
      </c>
      <c r="L196">
        <v>4</v>
      </c>
      <c r="M196" t="str">
        <f t="shared" si="7"/>
        <v>Yes</v>
      </c>
      <c r="N196" t="str">
        <f>IF(user_behavior_dataset!$D196&lt;60,"Low",
IF(user_behavior_dataset!$D196&lt;=180,"Medium","High"))</f>
        <v>High</v>
      </c>
      <c r="O196" t="str">
        <f>IF(user_behavior_dataset!$H196&gt;=1341,"Yes","No")</f>
        <v>No</v>
      </c>
      <c r="P196" t="str">
        <f>IF(user_behavior_dataset!$F196&gt;=2229,"Yes","No")</f>
        <v>No</v>
      </c>
    </row>
    <row r="197" spans="1:16" x14ac:dyDescent="0.3">
      <c r="A197">
        <v>196</v>
      </c>
      <c r="B197" t="s">
        <v>11</v>
      </c>
      <c r="C197" t="s">
        <v>12</v>
      </c>
      <c r="D197">
        <v>202</v>
      </c>
      <c r="E197">
        <v>4.7</v>
      </c>
      <c r="F197">
        <v>1512</v>
      </c>
      <c r="G197">
        <v>49</v>
      </c>
      <c r="H197">
        <v>659</v>
      </c>
      <c r="I197">
        <v>45</v>
      </c>
      <c r="J197" t="str">
        <f t="shared" si="6"/>
        <v>40+</v>
      </c>
      <c r="K197" t="s">
        <v>15</v>
      </c>
      <c r="L197">
        <v>3</v>
      </c>
      <c r="M197" t="str">
        <f t="shared" si="7"/>
        <v>Yes</v>
      </c>
      <c r="N197" t="str">
        <f>IF(user_behavior_dataset!$D197&lt;60,"Low",
IF(user_behavior_dataset!$D197&lt;=180,"Medium","High"))</f>
        <v>High</v>
      </c>
      <c r="O197" t="str">
        <f>IF(user_behavior_dataset!$H197&gt;=1341,"Yes","No")</f>
        <v>No</v>
      </c>
      <c r="P197" t="str">
        <f>IF(user_behavior_dataset!$F197&gt;=2229,"Yes","No")</f>
        <v>No</v>
      </c>
    </row>
    <row r="198" spans="1:16" x14ac:dyDescent="0.3">
      <c r="A198">
        <v>197</v>
      </c>
      <c r="B198" t="s">
        <v>14</v>
      </c>
      <c r="C198" t="s">
        <v>12</v>
      </c>
      <c r="D198">
        <v>215</v>
      </c>
      <c r="E198">
        <v>4.4000000000000004</v>
      </c>
      <c r="F198">
        <v>1407</v>
      </c>
      <c r="G198">
        <v>41</v>
      </c>
      <c r="H198">
        <v>991</v>
      </c>
      <c r="I198">
        <v>47</v>
      </c>
      <c r="J198" t="str">
        <f t="shared" si="6"/>
        <v>40+</v>
      </c>
      <c r="K198" t="s">
        <v>13</v>
      </c>
      <c r="L198">
        <v>3</v>
      </c>
      <c r="M198" t="str">
        <f t="shared" si="7"/>
        <v>Yes</v>
      </c>
      <c r="N198" t="str">
        <f>IF(user_behavior_dataset!$D198&lt;60,"Low",
IF(user_behavior_dataset!$D198&lt;=180,"Medium","High"))</f>
        <v>High</v>
      </c>
      <c r="O198" t="str">
        <f>IF(user_behavior_dataset!$H198&gt;=1341,"Yes","No")</f>
        <v>No</v>
      </c>
      <c r="P198" t="str">
        <f>IF(user_behavior_dataset!$F198&gt;=2229,"Yes","No")</f>
        <v>No</v>
      </c>
    </row>
    <row r="199" spans="1:16" x14ac:dyDescent="0.3">
      <c r="A199">
        <v>198</v>
      </c>
      <c r="B199" t="s">
        <v>14</v>
      </c>
      <c r="C199" t="s">
        <v>12</v>
      </c>
      <c r="D199">
        <v>151</v>
      </c>
      <c r="E199">
        <v>3.7</v>
      </c>
      <c r="F199">
        <v>1116</v>
      </c>
      <c r="G199">
        <v>32</v>
      </c>
      <c r="H199">
        <v>320</v>
      </c>
      <c r="I199">
        <v>41</v>
      </c>
      <c r="J199" t="str">
        <f t="shared" si="6"/>
        <v>40+</v>
      </c>
      <c r="K199" t="s">
        <v>15</v>
      </c>
      <c r="L199">
        <v>2</v>
      </c>
      <c r="M199" t="str">
        <f t="shared" si="7"/>
        <v>Yes</v>
      </c>
      <c r="N199" t="str">
        <f>IF(user_behavior_dataset!$D199&lt;60,"Low",
IF(user_behavior_dataset!$D199&lt;=180,"Medium","High"))</f>
        <v>Medium</v>
      </c>
      <c r="O199" t="str">
        <f>IF(user_behavior_dataset!$H199&gt;=1341,"Yes","No")</f>
        <v>No</v>
      </c>
      <c r="P199" t="str">
        <f>IF(user_behavior_dataset!$F199&gt;=2229,"Yes","No")</f>
        <v>No</v>
      </c>
    </row>
    <row r="200" spans="1:16" x14ac:dyDescent="0.3">
      <c r="A200">
        <v>199</v>
      </c>
      <c r="B200" t="s">
        <v>14</v>
      </c>
      <c r="C200" t="s">
        <v>12</v>
      </c>
      <c r="D200">
        <v>80</v>
      </c>
      <c r="E200">
        <v>1.6</v>
      </c>
      <c r="F200">
        <v>549</v>
      </c>
      <c r="G200">
        <v>14</v>
      </c>
      <c r="H200">
        <v>197</v>
      </c>
      <c r="I200">
        <v>19</v>
      </c>
      <c r="J200" t="str">
        <f t="shared" si="6"/>
        <v>&lt;25</v>
      </c>
      <c r="K200" t="s">
        <v>13</v>
      </c>
      <c r="L200">
        <v>1</v>
      </c>
      <c r="M200" t="str">
        <f t="shared" si="7"/>
        <v>Yes</v>
      </c>
      <c r="N200" t="str">
        <f>IF(user_behavior_dataset!$D200&lt;60,"Low",
IF(user_behavior_dataset!$D200&lt;=180,"Medium","High"))</f>
        <v>Medium</v>
      </c>
      <c r="O200" t="str">
        <f>IF(user_behavior_dataset!$H200&gt;=1341,"Yes","No")</f>
        <v>No</v>
      </c>
      <c r="P200" t="str">
        <f>IF(user_behavior_dataset!$F200&gt;=2229,"Yes","No")</f>
        <v>No</v>
      </c>
    </row>
    <row r="201" spans="1:16" x14ac:dyDescent="0.3">
      <c r="A201">
        <v>200</v>
      </c>
      <c r="B201" t="s">
        <v>16</v>
      </c>
      <c r="C201" t="s">
        <v>12</v>
      </c>
      <c r="D201">
        <v>126</v>
      </c>
      <c r="E201">
        <v>2.8</v>
      </c>
      <c r="F201">
        <v>971</v>
      </c>
      <c r="G201">
        <v>32</v>
      </c>
      <c r="H201">
        <v>431</v>
      </c>
      <c r="I201">
        <v>35</v>
      </c>
      <c r="J201" t="str">
        <f t="shared" si="6"/>
        <v>25–40</v>
      </c>
      <c r="K201" t="s">
        <v>15</v>
      </c>
      <c r="L201">
        <v>2</v>
      </c>
      <c r="M201" t="str">
        <f t="shared" si="7"/>
        <v>Yes</v>
      </c>
      <c r="N201" t="str">
        <f>IF(user_behavior_dataset!$D201&lt;60,"Low",
IF(user_behavior_dataset!$D201&lt;=180,"Medium","High"))</f>
        <v>Medium</v>
      </c>
      <c r="O201" t="str">
        <f>IF(user_behavior_dataset!$H201&gt;=1341,"Yes","No")</f>
        <v>No</v>
      </c>
      <c r="P201" t="str">
        <f>IF(user_behavior_dataset!$F201&gt;=2229,"Yes","No")</f>
        <v>No</v>
      </c>
    </row>
    <row r="202" spans="1:16" x14ac:dyDescent="0.3">
      <c r="A202">
        <v>201</v>
      </c>
      <c r="B202" t="s">
        <v>19</v>
      </c>
      <c r="C202" t="s">
        <v>12</v>
      </c>
      <c r="D202">
        <v>495</v>
      </c>
      <c r="E202">
        <v>8.9</v>
      </c>
      <c r="F202">
        <v>2920</v>
      </c>
      <c r="G202">
        <v>84</v>
      </c>
      <c r="H202">
        <v>2252</v>
      </c>
      <c r="I202">
        <v>31</v>
      </c>
      <c r="J202" t="str">
        <f t="shared" si="6"/>
        <v>25–40</v>
      </c>
      <c r="K202" t="s">
        <v>15</v>
      </c>
      <c r="L202">
        <v>5</v>
      </c>
      <c r="M202" t="str">
        <f t="shared" si="7"/>
        <v>Yes</v>
      </c>
      <c r="N202" t="str">
        <f>IF(user_behavior_dataset!$D202&lt;60,"Low",
IF(user_behavior_dataset!$D202&lt;=180,"Medium","High"))</f>
        <v>High</v>
      </c>
      <c r="O202" t="str">
        <f>IF(user_behavior_dataset!$H202&gt;=1341,"Yes","No")</f>
        <v>Yes</v>
      </c>
      <c r="P202" t="str">
        <f>IF(user_behavior_dataset!$F202&gt;=2229,"Yes","No")</f>
        <v>Yes</v>
      </c>
    </row>
    <row r="203" spans="1:16" x14ac:dyDescent="0.3">
      <c r="A203">
        <v>202</v>
      </c>
      <c r="B203" t="s">
        <v>17</v>
      </c>
      <c r="C203" t="s">
        <v>18</v>
      </c>
      <c r="D203">
        <v>127</v>
      </c>
      <c r="E203">
        <v>3.7</v>
      </c>
      <c r="F203">
        <v>1153</v>
      </c>
      <c r="G203">
        <v>35</v>
      </c>
      <c r="H203">
        <v>314</v>
      </c>
      <c r="I203">
        <v>37</v>
      </c>
      <c r="J203" t="str">
        <f t="shared" si="6"/>
        <v>25–40</v>
      </c>
      <c r="K203" t="s">
        <v>15</v>
      </c>
      <c r="L203">
        <v>2</v>
      </c>
      <c r="M203" t="str">
        <f t="shared" si="7"/>
        <v>Yes</v>
      </c>
      <c r="N203" t="str">
        <f>IF(user_behavior_dataset!$D203&lt;60,"Low",
IF(user_behavior_dataset!$D203&lt;=180,"Medium","High"))</f>
        <v>Medium</v>
      </c>
      <c r="O203" t="str">
        <f>IF(user_behavior_dataset!$H203&gt;=1341,"Yes","No")</f>
        <v>No</v>
      </c>
      <c r="P203" t="str">
        <f>IF(user_behavior_dataset!$F203&gt;=2229,"Yes","No")</f>
        <v>No</v>
      </c>
    </row>
    <row r="204" spans="1:16" x14ac:dyDescent="0.3">
      <c r="A204">
        <v>203</v>
      </c>
      <c r="B204" t="s">
        <v>16</v>
      </c>
      <c r="C204" t="s">
        <v>12</v>
      </c>
      <c r="D204">
        <v>88</v>
      </c>
      <c r="E204">
        <v>1.3</v>
      </c>
      <c r="F204">
        <v>327</v>
      </c>
      <c r="G204">
        <v>11</v>
      </c>
      <c r="H204">
        <v>262</v>
      </c>
      <c r="I204">
        <v>22</v>
      </c>
      <c r="J204" t="str">
        <f t="shared" si="6"/>
        <v>&lt;25</v>
      </c>
      <c r="K204" t="s">
        <v>13</v>
      </c>
      <c r="L204">
        <v>1</v>
      </c>
      <c r="M204" t="str">
        <f t="shared" si="7"/>
        <v>Yes</v>
      </c>
      <c r="N204" t="str">
        <f>IF(user_behavior_dataset!$D204&lt;60,"Low",
IF(user_behavior_dataset!$D204&lt;=180,"Medium","High"))</f>
        <v>Medium</v>
      </c>
      <c r="O204" t="str">
        <f>IF(user_behavior_dataset!$H204&gt;=1341,"Yes","No")</f>
        <v>No</v>
      </c>
      <c r="P204" t="str">
        <f>IF(user_behavior_dataset!$F204&gt;=2229,"Yes","No")</f>
        <v>No</v>
      </c>
    </row>
    <row r="205" spans="1:16" x14ac:dyDescent="0.3">
      <c r="A205">
        <v>204</v>
      </c>
      <c r="B205" t="s">
        <v>11</v>
      </c>
      <c r="C205" t="s">
        <v>12</v>
      </c>
      <c r="D205">
        <v>69</v>
      </c>
      <c r="E205">
        <v>1.6</v>
      </c>
      <c r="F205">
        <v>463</v>
      </c>
      <c r="G205">
        <v>16</v>
      </c>
      <c r="H205">
        <v>146</v>
      </c>
      <c r="I205">
        <v>27</v>
      </c>
      <c r="J205" t="str">
        <f t="shared" si="6"/>
        <v>25–40</v>
      </c>
      <c r="K205" t="s">
        <v>13</v>
      </c>
      <c r="L205">
        <v>1</v>
      </c>
      <c r="M205" t="str">
        <f t="shared" si="7"/>
        <v>Yes</v>
      </c>
      <c r="N205" t="str">
        <f>IF(user_behavior_dataset!$D205&lt;60,"Low",
IF(user_behavior_dataset!$D205&lt;=180,"Medium","High"))</f>
        <v>Medium</v>
      </c>
      <c r="O205" t="str">
        <f>IF(user_behavior_dataset!$H205&gt;=1341,"Yes","No")</f>
        <v>No</v>
      </c>
      <c r="P205" t="str">
        <f>IF(user_behavior_dataset!$F205&gt;=2229,"Yes","No")</f>
        <v>No</v>
      </c>
    </row>
    <row r="206" spans="1:16" x14ac:dyDescent="0.3">
      <c r="A206">
        <v>205</v>
      </c>
      <c r="B206" t="s">
        <v>14</v>
      </c>
      <c r="C206" t="s">
        <v>12</v>
      </c>
      <c r="D206">
        <v>100</v>
      </c>
      <c r="E206">
        <v>3.3</v>
      </c>
      <c r="F206">
        <v>961</v>
      </c>
      <c r="G206">
        <v>21</v>
      </c>
      <c r="H206">
        <v>433</v>
      </c>
      <c r="I206">
        <v>25</v>
      </c>
      <c r="J206" t="str">
        <f t="shared" si="6"/>
        <v>25–40</v>
      </c>
      <c r="K206" t="s">
        <v>13</v>
      </c>
      <c r="L206">
        <v>2</v>
      </c>
      <c r="M206" t="str">
        <f t="shared" si="7"/>
        <v>Yes</v>
      </c>
      <c r="N206" t="str">
        <f>IF(user_behavior_dataset!$D206&lt;60,"Low",
IF(user_behavior_dataset!$D206&lt;=180,"Medium","High"))</f>
        <v>Medium</v>
      </c>
      <c r="O206" t="str">
        <f>IF(user_behavior_dataset!$H206&gt;=1341,"Yes","No")</f>
        <v>No</v>
      </c>
      <c r="P206" t="str">
        <f>IF(user_behavior_dataset!$F206&gt;=2229,"Yes","No")</f>
        <v>No</v>
      </c>
    </row>
    <row r="207" spans="1:16" x14ac:dyDescent="0.3">
      <c r="A207">
        <v>206</v>
      </c>
      <c r="B207" t="s">
        <v>16</v>
      </c>
      <c r="C207" t="s">
        <v>12</v>
      </c>
      <c r="D207">
        <v>301</v>
      </c>
      <c r="E207">
        <v>6.5</v>
      </c>
      <c r="F207">
        <v>2084</v>
      </c>
      <c r="G207">
        <v>71</v>
      </c>
      <c r="H207">
        <v>1421</v>
      </c>
      <c r="I207">
        <v>29</v>
      </c>
      <c r="J207" t="str">
        <f t="shared" si="6"/>
        <v>25–40</v>
      </c>
      <c r="K207" t="s">
        <v>13</v>
      </c>
      <c r="L207">
        <v>4</v>
      </c>
      <c r="M207" t="str">
        <f t="shared" si="7"/>
        <v>Yes</v>
      </c>
      <c r="N207" t="str">
        <f>IF(user_behavior_dataset!$D207&lt;60,"Low",
IF(user_behavior_dataset!$D207&lt;=180,"Medium","High"))</f>
        <v>High</v>
      </c>
      <c r="O207" t="str">
        <f>IF(user_behavior_dataset!$H207&gt;=1341,"Yes","No")</f>
        <v>Yes</v>
      </c>
      <c r="P207" t="str">
        <f>IF(user_behavior_dataset!$F207&gt;=2229,"Yes","No")</f>
        <v>No</v>
      </c>
    </row>
    <row r="208" spans="1:16" x14ac:dyDescent="0.3">
      <c r="A208">
        <v>207</v>
      </c>
      <c r="B208" t="s">
        <v>11</v>
      </c>
      <c r="C208" t="s">
        <v>12</v>
      </c>
      <c r="D208">
        <v>78</v>
      </c>
      <c r="E208">
        <v>1.7</v>
      </c>
      <c r="F208">
        <v>455</v>
      </c>
      <c r="G208">
        <v>15</v>
      </c>
      <c r="H208">
        <v>207</v>
      </c>
      <c r="I208">
        <v>37</v>
      </c>
      <c r="J208" t="str">
        <f t="shared" si="6"/>
        <v>25–40</v>
      </c>
      <c r="K208" t="s">
        <v>15</v>
      </c>
      <c r="L208">
        <v>1</v>
      </c>
      <c r="M208" t="str">
        <f t="shared" si="7"/>
        <v>Yes</v>
      </c>
      <c r="N208" t="str">
        <f>IF(user_behavior_dataset!$D208&lt;60,"Low",
IF(user_behavior_dataset!$D208&lt;=180,"Medium","High"))</f>
        <v>Medium</v>
      </c>
      <c r="O208" t="str">
        <f>IF(user_behavior_dataset!$H208&gt;=1341,"Yes","No")</f>
        <v>No</v>
      </c>
      <c r="P208" t="str">
        <f>IF(user_behavior_dataset!$F208&gt;=2229,"Yes","No")</f>
        <v>No</v>
      </c>
    </row>
    <row r="209" spans="1:16" x14ac:dyDescent="0.3">
      <c r="A209">
        <v>208</v>
      </c>
      <c r="B209" t="s">
        <v>11</v>
      </c>
      <c r="C209" t="s">
        <v>12</v>
      </c>
      <c r="D209">
        <v>163</v>
      </c>
      <c r="E209">
        <v>3.1</v>
      </c>
      <c r="F209">
        <v>620</v>
      </c>
      <c r="G209">
        <v>21</v>
      </c>
      <c r="H209">
        <v>419</v>
      </c>
      <c r="I209">
        <v>23</v>
      </c>
      <c r="J209" t="str">
        <f t="shared" si="6"/>
        <v>&lt;25</v>
      </c>
      <c r="K209" t="s">
        <v>13</v>
      </c>
      <c r="L209">
        <v>2</v>
      </c>
      <c r="M209" t="str">
        <f t="shared" si="7"/>
        <v>Yes</v>
      </c>
      <c r="N209" t="str">
        <f>IF(user_behavior_dataset!$D209&lt;60,"Low",
IF(user_behavior_dataset!$D209&lt;=180,"Medium","High"))</f>
        <v>Medium</v>
      </c>
      <c r="O209" t="str">
        <f>IF(user_behavior_dataset!$H209&gt;=1341,"Yes","No")</f>
        <v>No</v>
      </c>
      <c r="P209" t="str">
        <f>IF(user_behavior_dataset!$F209&gt;=2229,"Yes","No")</f>
        <v>No</v>
      </c>
    </row>
    <row r="210" spans="1:16" x14ac:dyDescent="0.3">
      <c r="A210">
        <v>209</v>
      </c>
      <c r="B210" t="s">
        <v>14</v>
      </c>
      <c r="C210" t="s">
        <v>12</v>
      </c>
      <c r="D210">
        <v>539</v>
      </c>
      <c r="E210">
        <v>9.3000000000000007</v>
      </c>
      <c r="F210">
        <v>2606</v>
      </c>
      <c r="G210">
        <v>92</v>
      </c>
      <c r="H210">
        <v>1990</v>
      </c>
      <c r="I210">
        <v>41</v>
      </c>
      <c r="J210" t="str">
        <f t="shared" si="6"/>
        <v>40+</v>
      </c>
      <c r="K210" t="s">
        <v>13</v>
      </c>
      <c r="L210">
        <v>5</v>
      </c>
      <c r="M210" t="str">
        <f t="shared" si="7"/>
        <v>Yes</v>
      </c>
      <c r="N210" t="str">
        <f>IF(user_behavior_dataset!$D210&lt;60,"Low",
IF(user_behavior_dataset!$D210&lt;=180,"Medium","High"))</f>
        <v>High</v>
      </c>
      <c r="O210" t="str">
        <f>IF(user_behavior_dataset!$H210&gt;=1341,"Yes","No")</f>
        <v>Yes</v>
      </c>
      <c r="P210" t="str">
        <f>IF(user_behavior_dataset!$F210&gt;=2229,"Yes","No")</f>
        <v>Yes</v>
      </c>
    </row>
    <row r="211" spans="1:16" x14ac:dyDescent="0.3">
      <c r="A211">
        <v>210</v>
      </c>
      <c r="B211" t="s">
        <v>11</v>
      </c>
      <c r="C211" t="s">
        <v>12</v>
      </c>
      <c r="D211">
        <v>278</v>
      </c>
      <c r="E211">
        <v>4.5999999999999996</v>
      </c>
      <c r="F211">
        <v>1385</v>
      </c>
      <c r="G211">
        <v>47</v>
      </c>
      <c r="H211">
        <v>823</v>
      </c>
      <c r="I211">
        <v>40</v>
      </c>
      <c r="J211" t="str">
        <f t="shared" si="6"/>
        <v>25–40</v>
      </c>
      <c r="K211" t="s">
        <v>15</v>
      </c>
      <c r="L211">
        <v>3</v>
      </c>
      <c r="M211" t="str">
        <f t="shared" si="7"/>
        <v>Yes</v>
      </c>
      <c r="N211" t="str">
        <f>IF(user_behavior_dataset!$D211&lt;60,"Low",
IF(user_behavior_dataset!$D211&lt;=180,"Medium","High"))</f>
        <v>High</v>
      </c>
      <c r="O211" t="str">
        <f>IF(user_behavior_dataset!$H211&gt;=1341,"Yes","No")</f>
        <v>No</v>
      </c>
      <c r="P211" t="str">
        <f>IF(user_behavior_dataset!$F211&gt;=2229,"Yes","No")</f>
        <v>No</v>
      </c>
    </row>
    <row r="212" spans="1:16" x14ac:dyDescent="0.3">
      <c r="A212">
        <v>211</v>
      </c>
      <c r="B212" t="s">
        <v>19</v>
      </c>
      <c r="C212" t="s">
        <v>12</v>
      </c>
      <c r="D212">
        <v>451</v>
      </c>
      <c r="E212">
        <v>6.1</v>
      </c>
      <c r="F212">
        <v>2108</v>
      </c>
      <c r="G212">
        <v>76</v>
      </c>
      <c r="H212">
        <v>1434</v>
      </c>
      <c r="I212">
        <v>25</v>
      </c>
      <c r="J212" t="str">
        <f t="shared" si="6"/>
        <v>25–40</v>
      </c>
      <c r="K212" t="s">
        <v>15</v>
      </c>
      <c r="L212">
        <v>4</v>
      </c>
      <c r="M212" t="str">
        <f t="shared" si="7"/>
        <v>Yes</v>
      </c>
      <c r="N212" t="str">
        <f>IF(user_behavior_dataset!$D212&lt;60,"Low",
IF(user_behavior_dataset!$D212&lt;=180,"Medium","High"))</f>
        <v>High</v>
      </c>
      <c r="O212" t="str">
        <f>IF(user_behavior_dataset!$H212&gt;=1341,"Yes","No")</f>
        <v>Yes</v>
      </c>
      <c r="P212" t="str">
        <f>IF(user_behavior_dataset!$F212&gt;=2229,"Yes","No")</f>
        <v>No</v>
      </c>
    </row>
    <row r="213" spans="1:16" x14ac:dyDescent="0.3">
      <c r="A213">
        <v>212</v>
      </c>
      <c r="B213" t="s">
        <v>19</v>
      </c>
      <c r="C213" t="s">
        <v>12</v>
      </c>
      <c r="D213">
        <v>481</v>
      </c>
      <c r="E213">
        <v>10.9</v>
      </c>
      <c r="F213">
        <v>2752</v>
      </c>
      <c r="G213">
        <v>86</v>
      </c>
      <c r="H213">
        <v>2017</v>
      </c>
      <c r="I213">
        <v>18</v>
      </c>
      <c r="J213" t="str">
        <f t="shared" si="6"/>
        <v>&lt;25</v>
      </c>
      <c r="K213" t="s">
        <v>13</v>
      </c>
      <c r="L213">
        <v>5</v>
      </c>
      <c r="M213" t="str">
        <f t="shared" si="7"/>
        <v>Yes</v>
      </c>
      <c r="N213" t="str">
        <f>IF(user_behavior_dataset!$D213&lt;60,"Low",
IF(user_behavior_dataset!$D213&lt;=180,"Medium","High"))</f>
        <v>High</v>
      </c>
      <c r="O213" t="str">
        <f>IF(user_behavior_dataset!$H213&gt;=1341,"Yes","No")</f>
        <v>Yes</v>
      </c>
      <c r="P213" t="str">
        <f>IF(user_behavior_dataset!$F213&gt;=2229,"Yes","No")</f>
        <v>Yes</v>
      </c>
    </row>
    <row r="214" spans="1:16" x14ac:dyDescent="0.3">
      <c r="A214">
        <v>213</v>
      </c>
      <c r="B214" t="s">
        <v>19</v>
      </c>
      <c r="C214" t="s">
        <v>12</v>
      </c>
      <c r="D214">
        <v>133</v>
      </c>
      <c r="E214">
        <v>3.4</v>
      </c>
      <c r="F214">
        <v>714</v>
      </c>
      <c r="G214">
        <v>38</v>
      </c>
      <c r="H214">
        <v>445</v>
      </c>
      <c r="I214">
        <v>25</v>
      </c>
      <c r="J214" t="str">
        <f t="shared" si="6"/>
        <v>25–40</v>
      </c>
      <c r="K214" t="s">
        <v>13</v>
      </c>
      <c r="L214">
        <v>2</v>
      </c>
      <c r="M214" t="str">
        <f t="shared" si="7"/>
        <v>Yes</v>
      </c>
      <c r="N214" t="str">
        <f>IF(user_behavior_dataset!$D214&lt;60,"Low",
IF(user_behavior_dataset!$D214&lt;=180,"Medium","High"))</f>
        <v>Medium</v>
      </c>
      <c r="O214" t="str">
        <f>IF(user_behavior_dataset!$H214&gt;=1341,"Yes","No")</f>
        <v>No</v>
      </c>
      <c r="P214" t="str">
        <f>IF(user_behavior_dataset!$F214&gt;=2229,"Yes","No")</f>
        <v>No</v>
      </c>
    </row>
    <row r="215" spans="1:16" x14ac:dyDescent="0.3">
      <c r="A215">
        <v>214</v>
      </c>
      <c r="B215" t="s">
        <v>16</v>
      </c>
      <c r="C215" t="s">
        <v>12</v>
      </c>
      <c r="D215">
        <v>41</v>
      </c>
      <c r="E215">
        <v>1.1000000000000001</v>
      </c>
      <c r="F215">
        <v>588</v>
      </c>
      <c r="G215">
        <v>10</v>
      </c>
      <c r="H215">
        <v>246</v>
      </c>
      <c r="I215">
        <v>22</v>
      </c>
      <c r="J215" t="str">
        <f t="shared" si="6"/>
        <v>&lt;25</v>
      </c>
      <c r="K215" t="s">
        <v>13</v>
      </c>
      <c r="L215">
        <v>1</v>
      </c>
      <c r="M215" t="str">
        <f t="shared" si="7"/>
        <v>No</v>
      </c>
      <c r="N215" t="str">
        <f>IF(user_behavior_dataset!$D215&lt;60,"Low",
IF(user_behavior_dataset!$D215&lt;=180,"Medium","High"))</f>
        <v>Low</v>
      </c>
      <c r="O215" t="str">
        <f>IF(user_behavior_dataset!$H215&gt;=1341,"Yes","No")</f>
        <v>No</v>
      </c>
      <c r="P215" t="str">
        <f>IF(user_behavior_dataset!$F215&gt;=2229,"Yes","No")</f>
        <v>No</v>
      </c>
    </row>
    <row r="216" spans="1:16" x14ac:dyDescent="0.3">
      <c r="A216">
        <v>215</v>
      </c>
      <c r="B216" t="s">
        <v>17</v>
      </c>
      <c r="C216" t="s">
        <v>18</v>
      </c>
      <c r="D216">
        <v>152</v>
      </c>
      <c r="E216">
        <v>3.3</v>
      </c>
      <c r="F216">
        <v>1175</v>
      </c>
      <c r="G216">
        <v>29</v>
      </c>
      <c r="H216">
        <v>461</v>
      </c>
      <c r="I216">
        <v>42</v>
      </c>
      <c r="J216" t="str">
        <f t="shared" si="6"/>
        <v>40+</v>
      </c>
      <c r="K216" t="s">
        <v>15</v>
      </c>
      <c r="L216">
        <v>2</v>
      </c>
      <c r="M216" t="str">
        <f t="shared" si="7"/>
        <v>Yes</v>
      </c>
      <c r="N216" t="str">
        <f>IF(user_behavior_dataset!$D216&lt;60,"Low",
IF(user_behavior_dataset!$D216&lt;=180,"Medium","High"))</f>
        <v>Medium</v>
      </c>
      <c r="O216" t="str">
        <f>IF(user_behavior_dataset!$H216&gt;=1341,"Yes","No")</f>
        <v>No</v>
      </c>
      <c r="P216" t="str">
        <f>IF(user_behavior_dataset!$F216&gt;=2229,"Yes","No")</f>
        <v>No</v>
      </c>
    </row>
    <row r="217" spans="1:16" x14ac:dyDescent="0.3">
      <c r="A217">
        <v>216</v>
      </c>
      <c r="B217" t="s">
        <v>14</v>
      </c>
      <c r="C217" t="s">
        <v>12</v>
      </c>
      <c r="D217">
        <v>553</v>
      </c>
      <c r="E217">
        <v>8.4</v>
      </c>
      <c r="F217">
        <v>2559</v>
      </c>
      <c r="G217">
        <v>89</v>
      </c>
      <c r="H217">
        <v>2471</v>
      </c>
      <c r="I217">
        <v>51</v>
      </c>
      <c r="J217" t="str">
        <f t="shared" si="6"/>
        <v>40+</v>
      </c>
      <c r="K217" t="s">
        <v>13</v>
      </c>
      <c r="L217">
        <v>5</v>
      </c>
      <c r="M217" t="str">
        <f t="shared" si="7"/>
        <v>Yes</v>
      </c>
      <c r="N217" t="str">
        <f>IF(user_behavior_dataset!$D217&lt;60,"Low",
IF(user_behavior_dataset!$D217&lt;=180,"Medium","High"))</f>
        <v>High</v>
      </c>
      <c r="O217" t="str">
        <f>IF(user_behavior_dataset!$H217&gt;=1341,"Yes","No")</f>
        <v>Yes</v>
      </c>
      <c r="P217" t="str">
        <f>IF(user_behavior_dataset!$F217&gt;=2229,"Yes","No")</f>
        <v>Yes</v>
      </c>
    </row>
    <row r="218" spans="1:16" x14ac:dyDescent="0.3">
      <c r="A218">
        <v>217</v>
      </c>
      <c r="B218" t="s">
        <v>17</v>
      </c>
      <c r="C218" t="s">
        <v>18</v>
      </c>
      <c r="D218">
        <v>402</v>
      </c>
      <c r="E218">
        <v>6.9</v>
      </c>
      <c r="F218">
        <v>2282</v>
      </c>
      <c r="G218">
        <v>78</v>
      </c>
      <c r="H218">
        <v>1397</v>
      </c>
      <c r="I218">
        <v>40</v>
      </c>
      <c r="J218" t="str">
        <f t="shared" si="6"/>
        <v>25–40</v>
      </c>
      <c r="K218" t="s">
        <v>13</v>
      </c>
      <c r="L218">
        <v>4</v>
      </c>
      <c r="M218" t="str">
        <f t="shared" si="7"/>
        <v>Yes</v>
      </c>
      <c r="N218" t="str">
        <f>IF(user_behavior_dataset!$D218&lt;60,"Low",
IF(user_behavior_dataset!$D218&lt;=180,"Medium","High"))</f>
        <v>High</v>
      </c>
      <c r="O218" t="str">
        <f>IF(user_behavior_dataset!$H218&gt;=1341,"Yes","No")</f>
        <v>Yes</v>
      </c>
      <c r="P218" t="str">
        <f>IF(user_behavior_dataset!$F218&gt;=2229,"Yes","No")</f>
        <v>Yes</v>
      </c>
    </row>
    <row r="219" spans="1:16" x14ac:dyDescent="0.3">
      <c r="A219">
        <v>218</v>
      </c>
      <c r="B219" t="s">
        <v>14</v>
      </c>
      <c r="C219" t="s">
        <v>12</v>
      </c>
      <c r="D219">
        <v>555</v>
      </c>
      <c r="E219">
        <v>9.5</v>
      </c>
      <c r="F219">
        <v>2855</v>
      </c>
      <c r="G219">
        <v>95</v>
      </c>
      <c r="H219">
        <v>1565</v>
      </c>
      <c r="I219">
        <v>24</v>
      </c>
      <c r="J219" t="str">
        <f t="shared" si="6"/>
        <v>&lt;25</v>
      </c>
      <c r="K219" t="s">
        <v>13</v>
      </c>
      <c r="L219">
        <v>5</v>
      </c>
      <c r="M219" t="str">
        <f t="shared" si="7"/>
        <v>Yes</v>
      </c>
      <c r="N219" t="str">
        <f>IF(user_behavior_dataset!$D219&lt;60,"Low",
IF(user_behavior_dataset!$D219&lt;=180,"Medium","High"))</f>
        <v>High</v>
      </c>
      <c r="O219" t="str">
        <f>IF(user_behavior_dataset!$H219&gt;=1341,"Yes","No")</f>
        <v>Yes</v>
      </c>
      <c r="P219" t="str">
        <f>IF(user_behavior_dataset!$F219&gt;=2229,"Yes","No")</f>
        <v>Yes</v>
      </c>
    </row>
    <row r="220" spans="1:16" x14ac:dyDescent="0.3">
      <c r="A220">
        <v>219</v>
      </c>
      <c r="B220" t="s">
        <v>17</v>
      </c>
      <c r="C220" t="s">
        <v>18</v>
      </c>
      <c r="D220">
        <v>499</v>
      </c>
      <c r="E220">
        <v>9.6</v>
      </c>
      <c r="F220">
        <v>2873</v>
      </c>
      <c r="G220">
        <v>81</v>
      </c>
      <c r="H220">
        <v>1805</v>
      </c>
      <c r="I220">
        <v>52</v>
      </c>
      <c r="J220" t="str">
        <f t="shared" si="6"/>
        <v>40+</v>
      </c>
      <c r="K220" t="s">
        <v>15</v>
      </c>
      <c r="L220">
        <v>5</v>
      </c>
      <c r="M220" t="str">
        <f t="shared" si="7"/>
        <v>Yes</v>
      </c>
      <c r="N220" t="str">
        <f>IF(user_behavior_dataset!$D220&lt;60,"Low",
IF(user_behavior_dataset!$D220&lt;=180,"Medium","High"))</f>
        <v>High</v>
      </c>
      <c r="O220" t="str">
        <f>IF(user_behavior_dataset!$H220&gt;=1341,"Yes","No")</f>
        <v>Yes</v>
      </c>
      <c r="P220" t="str">
        <f>IF(user_behavior_dataset!$F220&gt;=2229,"Yes","No")</f>
        <v>Yes</v>
      </c>
    </row>
    <row r="221" spans="1:16" x14ac:dyDescent="0.3">
      <c r="A221">
        <v>220</v>
      </c>
      <c r="B221" t="s">
        <v>16</v>
      </c>
      <c r="C221" t="s">
        <v>12</v>
      </c>
      <c r="D221">
        <v>101</v>
      </c>
      <c r="E221">
        <v>3.2</v>
      </c>
      <c r="F221">
        <v>603</v>
      </c>
      <c r="G221">
        <v>28</v>
      </c>
      <c r="H221">
        <v>417</v>
      </c>
      <c r="I221">
        <v>43</v>
      </c>
      <c r="J221" t="str">
        <f t="shared" si="6"/>
        <v>40+</v>
      </c>
      <c r="K221" t="s">
        <v>13</v>
      </c>
      <c r="L221">
        <v>2</v>
      </c>
      <c r="M221" t="str">
        <f t="shared" si="7"/>
        <v>Yes</v>
      </c>
      <c r="N221" t="str">
        <f>IF(user_behavior_dataset!$D221&lt;60,"Low",
IF(user_behavior_dataset!$D221&lt;=180,"Medium","High"))</f>
        <v>Medium</v>
      </c>
      <c r="O221" t="str">
        <f>IF(user_behavior_dataset!$H221&gt;=1341,"Yes","No")</f>
        <v>No</v>
      </c>
      <c r="P221" t="str">
        <f>IF(user_behavior_dataset!$F221&gt;=2229,"Yes","No")</f>
        <v>No</v>
      </c>
    </row>
    <row r="222" spans="1:16" x14ac:dyDescent="0.3">
      <c r="A222">
        <v>221</v>
      </c>
      <c r="B222" t="s">
        <v>14</v>
      </c>
      <c r="C222" t="s">
        <v>12</v>
      </c>
      <c r="D222">
        <v>433</v>
      </c>
      <c r="E222">
        <v>6.8</v>
      </c>
      <c r="F222">
        <v>2093</v>
      </c>
      <c r="G222">
        <v>75</v>
      </c>
      <c r="H222">
        <v>1300</v>
      </c>
      <c r="I222">
        <v>32</v>
      </c>
      <c r="J222" t="str">
        <f t="shared" si="6"/>
        <v>25–40</v>
      </c>
      <c r="K222" t="s">
        <v>13</v>
      </c>
      <c r="L222">
        <v>4</v>
      </c>
      <c r="M222" t="str">
        <f t="shared" si="7"/>
        <v>Yes</v>
      </c>
      <c r="N222" t="str">
        <f>IF(user_behavior_dataset!$D222&lt;60,"Low",
IF(user_behavior_dataset!$D222&lt;=180,"Medium","High"))</f>
        <v>High</v>
      </c>
      <c r="O222" t="str">
        <f>IF(user_behavior_dataset!$H222&gt;=1341,"Yes","No")</f>
        <v>No</v>
      </c>
      <c r="P222" t="str">
        <f>IF(user_behavior_dataset!$F222&gt;=2229,"Yes","No")</f>
        <v>No</v>
      </c>
    </row>
    <row r="223" spans="1:16" x14ac:dyDescent="0.3">
      <c r="A223">
        <v>222</v>
      </c>
      <c r="B223" t="s">
        <v>14</v>
      </c>
      <c r="C223" t="s">
        <v>12</v>
      </c>
      <c r="D223">
        <v>133</v>
      </c>
      <c r="E223">
        <v>2</v>
      </c>
      <c r="F223">
        <v>1007</v>
      </c>
      <c r="G223">
        <v>31</v>
      </c>
      <c r="H223">
        <v>417</v>
      </c>
      <c r="I223">
        <v>32</v>
      </c>
      <c r="J223" t="str">
        <f t="shared" si="6"/>
        <v>25–40</v>
      </c>
      <c r="K223" t="s">
        <v>13</v>
      </c>
      <c r="L223">
        <v>2</v>
      </c>
      <c r="M223" t="str">
        <f t="shared" si="7"/>
        <v>Yes</v>
      </c>
      <c r="N223" t="str">
        <f>IF(user_behavior_dataset!$D223&lt;60,"Low",
IF(user_behavior_dataset!$D223&lt;=180,"Medium","High"))</f>
        <v>Medium</v>
      </c>
      <c r="O223" t="str">
        <f>IF(user_behavior_dataset!$H223&gt;=1341,"Yes","No")</f>
        <v>No</v>
      </c>
      <c r="P223" t="str">
        <f>IF(user_behavior_dataset!$F223&gt;=2229,"Yes","No")</f>
        <v>No</v>
      </c>
    </row>
    <row r="224" spans="1:16" x14ac:dyDescent="0.3">
      <c r="A224">
        <v>223</v>
      </c>
      <c r="B224" t="s">
        <v>16</v>
      </c>
      <c r="C224" t="s">
        <v>12</v>
      </c>
      <c r="D224">
        <v>351</v>
      </c>
      <c r="E224">
        <v>6.1</v>
      </c>
      <c r="F224">
        <v>1941</v>
      </c>
      <c r="G224">
        <v>79</v>
      </c>
      <c r="H224">
        <v>1290</v>
      </c>
      <c r="I224">
        <v>21</v>
      </c>
      <c r="J224" t="str">
        <f t="shared" si="6"/>
        <v>&lt;25</v>
      </c>
      <c r="K224" t="s">
        <v>15</v>
      </c>
      <c r="L224">
        <v>4</v>
      </c>
      <c r="M224" t="str">
        <f t="shared" si="7"/>
        <v>Yes</v>
      </c>
      <c r="N224" t="str">
        <f>IF(user_behavior_dataset!$D224&lt;60,"Low",
IF(user_behavior_dataset!$D224&lt;=180,"Medium","High"))</f>
        <v>High</v>
      </c>
      <c r="O224" t="str">
        <f>IF(user_behavior_dataset!$H224&gt;=1341,"Yes","No")</f>
        <v>No</v>
      </c>
      <c r="P224" t="str">
        <f>IF(user_behavior_dataset!$F224&gt;=2229,"Yes","No")</f>
        <v>No</v>
      </c>
    </row>
    <row r="225" spans="1:16" x14ac:dyDescent="0.3">
      <c r="A225">
        <v>224</v>
      </c>
      <c r="B225" t="s">
        <v>19</v>
      </c>
      <c r="C225" t="s">
        <v>12</v>
      </c>
      <c r="D225">
        <v>532</v>
      </c>
      <c r="E225">
        <v>10.7</v>
      </c>
      <c r="F225">
        <v>2556</v>
      </c>
      <c r="G225">
        <v>83</v>
      </c>
      <c r="H225">
        <v>2148</v>
      </c>
      <c r="I225">
        <v>53</v>
      </c>
      <c r="J225" t="str">
        <f t="shared" si="6"/>
        <v>40+</v>
      </c>
      <c r="K225" t="s">
        <v>15</v>
      </c>
      <c r="L225">
        <v>5</v>
      </c>
      <c r="M225" t="str">
        <f t="shared" si="7"/>
        <v>Yes</v>
      </c>
      <c r="N225" t="str">
        <f>IF(user_behavior_dataset!$D225&lt;60,"Low",
IF(user_behavior_dataset!$D225&lt;=180,"Medium","High"))</f>
        <v>High</v>
      </c>
      <c r="O225" t="str">
        <f>IF(user_behavior_dataset!$H225&gt;=1341,"Yes","No")</f>
        <v>Yes</v>
      </c>
      <c r="P225" t="str">
        <f>IF(user_behavior_dataset!$F225&gt;=2229,"Yes","No")</f>
        <v>Yes</v>
      </c>
    </row>
    <row r="226" spans="1:16" x14ac:dyDescent="0.3">
      <c r="A226">
        <v>225</v>
      </c>
      <c r="B226" t="s">
        <v>14</v>
      </c>
      <c r="C226" t="s">
        <v>12</v>
      </c>
      <c r="D226">
        <v>92</v>
      </c>
      <c r="E226">
        <v>2.5</v>
      </c>
      <c r="F226">
        <v>690</v>
      </c>
      <c r="G226">
        <v>31</v>
      </c>
      <c r="H226">
        <v>563</v>
      </c>
      <c r="I226">
        <v>27</v>
      </c>
      <c r="J226" t="str">
        <f t="shared" si="6"/>
        <v>25–40</v>
      </c>
      <c r="K226" t="s">
        <v>13</v>
      </c>
      <c r="L226">
        <v>2</v>
      </c>
      <c r="M226" t="str">
        <f t="shared" si="7"/>
        <v>Yes</v>
      </c>
      <c r="N226" t="str">
        <f>IF(user_behavior_dataset!$D226&lt;60,"Low",
IF(user_behavior_dataset!$D226&lt;=180,"Medium","High"))</f>
        <v>Medium</v>
      </c>
      <c r="O226" t="str">
        <f>IF(user_behavior_dataset!$H226&gt;=1341,"Yes","No")</f>
        <v>No</v>
      </c>
      <c r="P226" t="str">
        <f>IF(user_behavior_dataset!$F226&gt;=2229,"Yes","No")</f>
        <v>No</v>
      </c>
    </row>
    <row r="227" spans="1:16" x14ac:dyDescent="0.3">
      <c r="A227">
        <v>226</v>
      </c>
      <c r="B227" t="s">
        <v>16</v>
      </c>
      <c r="C227" t="s">
        <v>12</v>
      </c>
      <c r="D227">
        <v>511</v>
      </c>
      <c r="E227">
        <v>10.8</v>
      </c>
      <c r="F227">
        <v>2712</v>
      </c>
      <c r="G227">
        <v>97</v>
      </c>
      <c r="H227">
        <v>2438</v>
      </c>
      <c r="I227">
        <v>59</v>
      </c>
      <c r="J227" t="str">
        <f t="shared" si="6"/>
        <v>40+</v>
      </c>
      <c r="K227" t="s">
        <v>15</v>
      </c>
      <c r="L227">
        <v>5</v>
      </c>
      <c r="M227" t="str">
        <f t="shared" si="7"/>
        <v>Yes</v>
      </c>
      <c r="N227" t="str">
        <f>IF(user_behavior_dataset!$D227&lt;60,"Low",
IF(user_behavior_dataset!$D227&lt;=180,"Medium","High"))</f>
        <v>High</v>
      </c>
      <c r="O227" t="str">
        <f>IF(user_behavior_dataset!$H227&gt;=1341,"Yes","No")</f>
        <v>Yes</v>
      </c>
      <c r="P227" t="str">
        <f>IF(user_behavior_dataset!$F227&gt;=2229,"Yes","No")</f>
        <v>Yes</v>
      </c>
    </row>
    <row r="228" spans="1:16" x14ac:dyDescent="0.3">
      <c r="A228">
        <v>227</v>
      </c>
      <c r="B228" t="s">
        <v>16</v>
      </c>
      <c r="C228" t="s">
        <v>12</v>
      </c>
      <c r="D228">
        <v>384</v>
      </c>
      <c r="E228">
        <v>7</v>
      </c>
      <c r="F228">
        <v>2185</v>
      </c>
      <c r="G228">
        <v>72</v>
      </c>
      <c r="H228">
        <v>1376</v>
      </c>
      <c r="I228">
        <v>59</v>
      </c>
      <c r="J228" t="str">
        <f t="shared" si="6"/>
        <v>40+</v>
      </c>
      <c r="K228" t="s">
        <v>13</v>
      </c>
      <c r="L228">
        <v>4</v>
      </c>
      <c r="M228" t="str">
        <f t="shared" si="7"/>
        <v>Yes</v>
      </c>
      <c r="N228" t="str">
        <f>IF(user_behavior_dataset!$D228&lt;60,"Low",
IF(user_behavior_dataset!$D228&lt;=180,"Medium","High"))</f>
        <v>High</v>
      </c>
      <c r="O228" t="str">
        <f>IF(user_behavior_dataset!$H228&gt;=1341,"Yes","No")</f>
        <v>Yes</v>
      </c>
      <c r="P228" t="str">
        <f>IF(user_behavior_dataset!$F228&gt;=2229,"Yes","No")</f>
        <v>No</v>
      </c>
    </row>
    <row r="229" spans="1:16" x14ac:dyDescent="0.3">
      <c r="A229">
        <v>228</v>
      </c>
      <c r="B229" t="s">
        <v>17</v>
      </c>
      <c r="C229" t="s">
        <v>18</v>
      </c>
      <c r="D229">
        <v>193</v>
      </c>
      <c r="E229">
        <v>5.2</v>
      </c>
      <c r="F229">
        <v>1318</v>
      </c>
      <c r="G229">
        <v>49</v>
      </c>
      <c r="H229">
        <v>626</v>
      </c>
      <c r="I229">
        <v>32</v>
      </c>
      <c r="J229" t="str">
        <f t="shared" si="6"/>
        <v>25–40</v>
      </c>
      <c r="K229" t="s">
        <v>15</v>
      </c>
      <c r="L229">
        <v>3</v>
      </c>
      <c r="M229" t="str">
        <f t="shared" si="7"/>
        <v>Yes</v>
      </c>
      <c r="N229" t="str">
        <f>IF(user_behavior_dataset!$D229&lt;60,"Low",
IF(user_behavior_dataset!$D229&lt;=180,"Medium","High"))</f>
        <v>High</v>
      </c>
      <c r="O229" t="str">
        <f>IF(user_behavior_dataset!$H229&gt;=1341,"Yes","No")</f>
        <v>No</v>
      </c>
      <c r="P229" t="str">
        <f>IF(user_behavior_dataset!$F229&gt;=2229,"Yes","No")</f>
        <v>No</v>
      </c>
    </row>
    <row r="230" spans="1:16" x14ac:dyDescent="0.3">
      <c r="A230">
        <v>229</v>
      </c>
      <c r="B230" t="s">
        <v>19</v>
      </c>
      <c r="C230" t="s">
        <v>12</v>
      </c>
      <c r="D230">
        <v>132</v>
      </c>
      <c r="E230">
        <v>3.8</v>
      </c>
      <c r="F230">
        <v>649</v>
      </c>
      <c r="G230">
        <v>25</v>
      </c>
      <c r="H230">
        <v>368</v>
      </c>
      <c r="I230">
        <v>41</v>
      </c>
      <c r="J230" t="str">
        <f t="shared" si="6"/>
        <v>40+</v>
      </c>
      <c r="K230" t="s">
        <v>13</v>
      </c>
      <c r="L230">
        <v>2</v>
      </c>
      <c r="M230" t="str">
        <f t="shared" si="7"/>
        <v>Yes</v>
      </c>
      <c r="N230" t="str">
        <f>IF(user_behavior_dataset!$D230&lt;60,"Low",
IF(user_behavior_dataset!$D230&lt;=180,"Medium","High"))</f>
        <v>Medium</v>
      </c>
      <c r="O230" t="str">
        <f>IF(user_behavior_dataset!$H230&gt;=1341,"Yes","No")</f>
        <v>No</v>
      </c>
      <c r="P230" t="str">
        <f>IF(user_behavior_dataset!$F230&gt;=2229,"Yes","No")</f>
        <v>No</v>
      </c>
    </row>
    <row r="231" spans="1:16" x14ac:dyDescent="0.3">
      <c r="A231">
        <v>230</v>
      </c>
      <c r="B231" t="s">
        <v>19</v>
      </c>
      <c r="C231" t="s">
        <v>12</v>
      </c>
      <c r="D231">
        <v>360</v>
      </c>
      <c r="E231">
        <v>7.3</v>
      </c>
      <c r="F231">
        <v>1946</v>
      </c>
      <c r="G231">
        <v>79</v>
      </c>
      <c r="H231">
        <v>1164</v>
      </c>
      <c r="I231">
        <v>50</v>
      </c>
      <c r="J231" t="str">
        <f t="shared" si="6"/>
        <v>40+</v>
      </c>
      <c r="K231" t="s">
        <v>13</v>
      </c>
      <c r="L231">
        <v>4</v>
      </c>
      <c r="M231" t="str">
        <f t="shared" si="7"/>
        <v>Yes</v>
      </c>
      <c r="N231" t="str">
        <f>IF(user_behavior_dataset!$D231&lt;60,"Low",
IF(user_behavior_dataset!$D231&lt;=180,"Medium","High"))</f>
        <v>High</v>
      </c>
      <c r="O231" t="str">
        <f>IF(user_behavior_dataset!$H231&gt;=1341,"Yes","No")</f>
        <v>No</v>
      </c>
      <c r="P231" t="str">
        <f>IF(user_behavior_dataset!$F231&gt;=2229,"Yes","No")</f>
        <v>No</v>
      </c>
    </row>
    <row r="232" spans="1:16" x14ac:dyDescent="0.3">
      <c r="A232">
        <v>231</v>
      </c>
      <c r="B232" t="s">
        <v>17</v>
      </c>
      <c r="C232" t="s">
        <v>18</v>
      </c>
      <c r="D232">
        <v>159</v>
      </c>
      <c r="E232">
        <v>2.2999999999999998</v>
      </c>
      <c r="F232">
        <v>1083</v>
      </c>
      <c r="G232">
        <v>32</v>
      </c>
      <c r="H232">
        <v>526</v>
      </c>
      <c r="I232">
        <v>38</v>
      </c>
      <c r="J232" t="str">
        <f t="shared" si="6"/>
        <v>25–40</v>
      </c>
      <c r="K232" t="s">
        <v>13</v>
      </c>
      <c r="L232">
        <v>2</v>
      </c>
      <c r="M232" t="str">
        <f t="shared" si="7"/>
        <v>Yes</v>
      </c>
      <c r="N232" t="str">
        <f>IF(user_behavior_dataset!$D232&lt;60,"Low",
IF(user_behavior_dataset!$D232&lt;=180,"Medium","High"))</f>
        <v>Medium</v>
      </c>
      <c r="O232" t="str">
        <f>IF(user_behavior_dataset!$H232&gt;=1341,"Yes","No")</f>
        <v>No</v>
      </c>
      <c r="P232" t="str">
        <f>IF(user_behavior_dataset!$F232&gt;=2229,"Yes","No")</f>
        <v>No</v>
      </c>
    </row>
    <row r="233" spans="1:16" x14ac:dyDescent="0.3">
      <c r="A233">
        <v>232</v>
      </c>
      <c r="B233" t="s">
        <v>17</v>
      </c>
      <c r="C233" t="s">
        <v>18</v>
      </c>
      <c r="D233">
        <v>495</v>
      </c>
      <c r="E233">
        <v>8.9</v>
      </c>
      <c r="F233">
        <v>2855</v>
      </c>
      <c r="G233">
        <v>91</v>
      </c>
      <c r="H233">
        <v>2150</v>
      </c>
      <c r="I233">
        <v>31</v>
      </c>
      <c r="J233" t="str">
        <f t="shared" si="6"/>
        <v>25–40</v>
      </c>
      <c r="K233" t="s">
        <v>13</v>
      </c>
      <c r="L233">
        <v>5</v>
      </c>
      <c r="M233" t="str">
        <f t="shared" si="7"/>
        <v>Yes</v>
      </c>
      <c r="N233" t="str">
        <f>IF(user_behavior_dataset!$D233&lt;60,"Low",
IF(user_behavior_dataset!$D233&lt;=180,"Medium","High"))</f>
        <v>High</v>
      </c>
      <c r="O233" t="str">
        <f>IF(user_behavior_dataset!$H233&gt;=1341,"Yes","No")</f>
        <v>Yes</v>
      </c>
      <c r="P233" t="str">
        <f>IF(user_behavior_dataset!$F233&gt;=2229,"Yes","No")</f>
        <v>Yes</v>
      </c>
    </row>
    <row r="234" spans="1:16" x14ac:dyDescent="0.3">
      <c r="A234">
        <v>233</v>
      </c>
      <c r="B234" t="s">
        <v>16</v>
      </c>
      <c r="C234" t="s">
        <v>12</v>
      </c>
      <c r="D234">
        <v>537</v>
      </c>
      <c r="E234">
        <v>10</v>
      </c>
      <c r="F234">
        <v>2720</v>
      </c>
      <c r="G234">
        <v>83</v>
      </c>
      <c r="H234">
        <v>1763</v>
      </c>
      <c r="I234">
        <v>35</v>
      </c>
      <c r="J234" t="str">
        <f t="shared" si="6"/>
        <v>25–40</v>
      </c>
      <c r="K234" t="s">
        <v>13</v>
      </c>
      <c r="L234">
        <v>5</v>
      </c>
      <c r="M234" t="str">
        <f t="shared" si="7"/>
        <v>Yes</v>
      </c>
      <c r="N234" t="str">
        <f>IF(user_behavior_dataset!$D234&lt;60,"Low",
IF(user_behavior_dataset!$D234&lt;=180,"Medium","High"))</f>
        <v>High</v>
      </c>
      <c r="O234" t="str">
        <f>IF(user_behavior_dataset!$H234&gt;=1341,"Yes","No")</f>
        <v>Yes</v>
      </c>
      <c r="P234" t="str">
        <f>IF(user_behavior_dataset!$F234&gt;=2229,"Yes","No")</f>
        <v>Yes</v>
      </c>
    </row>
    <row r="235" spans="1:16" x14ac:dyDescent="0.3">
      <c r="A235">
        <v>234</v>
      </c>
      <c r="B235" t="s">
        <v>14</v>
      </c>
      <c r="C235" t="s">
        <v>12</v>
      </c>
      <c r="D235">
        <v>129</v>
      </c>
      <c r="E235">
        <v>3.4</v>
      </c>
      <c r="F235">
        <v>1059</v>
      </c>
      <c r="G235">
        <v>27</v>
      </c>
      <c r="H235">
        <v>580</v>
      </c>
      <c r="I235">
        <v>36</v>
      </c>
      <c r="J235" t="str">
        <f t="shared" si="6"/>
        <v>25–40</v>
      </c>
      <c r="K235" t="s">
        <v>15</v>
      </c>
      <c r="L235">
        <v>2</v>
      </c>
      <c r="M235" t="str">
        <f t="shared" si="7"/>
        <v>Yes</v>
      </c>
      <c r="N235" t="str">
        <f>IF(user_behavior_dataset!$D235&lt;60,"Low",
IF(user_behavior_dataset!$D235&lt;=180,"Medium","High"))</f>
        <v>Medium</v>
      </c>
      <c r="O235" t="str">
        <f>IF(user_behavior_dataset!$H235&gt;=1341,"Yes","No")</f>
        <v>No</v>
      </c>
      <c r="P235" t="str">
        <f>IF(user_behavior_dataset!$F235&gt;=2229,"Yes","No")</f>
        <v>No</v>
      </c>
    </row>
    <row r="236" spans="1:16" x14ac:dyDescent="0.3">
      <c r="A236">
        <v>235</v>
      </c>
      <c r="B236" t="s">
        <v>17</v>
      </c>
      <c r="C236" t="s">
        <v>18</v>
      </c>
      <c r="D236">
        <v>132</v>
      </c>
      <c r="E236">
        <v>3.8</v>
      </c>
      <c r="F236">
        <v>636</v>
      </c>
      <c r="G236">
        <v>28</v>
      </c>
      <c r="H236">
        <v>529</v>
      </c>
      <c r="I236">
        <v>53</v>
      </c>
      <c r="J236" t="str">
        <f t="shared" si="6"/>
        <v>40+</v>
      </c>
      <c r="K236" t="s">
        <v>13</v>
      </c>
      <c r="L236">
        <v>2</v>
      </c>
      <c r="M236" t="str">
        <f t="shared" si="7"/>
        <v>Yes</v>
      </c>
      <c r="N236" t="str">
        <f>IF(user_behavior_dataset!$D236&lt;60,"Low",
IF(user_behavior_dataset!$D236&lt;=180,"Medium","High"))</f>
        <v>Medium</v>
      </c>
      <c r="O236" t="str">
        <f>IF(user_behavior_dataset!$H236&gt;=1341,"Yes","No")</f>
        <v>No</v>
      </c>
      <c r="P236" t="str">
        <f>IF(user_behavior_dataset!$F236&gt;=2229,"Yes","No")</f>
        <v>No</v>
      </c>
    </row>
    <row r="237" spans="1:16" x14ac:dyDescent="0.3">
      <c r="A237">
        <v>236</v>
      </c>
      <c r="B237" t="s">
        <v>16</v>
      </c>
      <c r="C237" t="s">
        <v>12</v>
      </c>
      <c r="D237">
        <v>37</v>
      </c>
      <c r="E237">
        <v>1.4</v>
      </c>
      <c r="F237">
        <v>369</v>
      </c>
      <c r="G237">
        <v>18</v>
      </c>
      <c r="H237">
        <v>295</v>
      </c>
      <c r="I237">
        <v>19</v>
      </c>
      <c r="J237" t="str">
        <f t="shared" si="6"/>
        <v>&lt;25</v>
      </c>
      <c r="K237" t="s">
        <v>15</v>
      </c>
      <c r="L237">
        <v>1</v>
      </c>
      <c r="M237" t="str">
        <f t="shared" si="7"/>
        <v>No</v>
      </c>
      <c r="N237" t="str">
        <f>IF(user_behavior_dataset!$D237&lt;60,"Low",
IF(user_behavior_dataset!$D237&lt;=180,"Medium","High"))</f>
        <v>Low</v>
      </c>
      <c r="O237" t="str">
        <f>IF(user_behavior_dataset!$H237&gt;=1341,"Yes","No")</f>
        <v>No</v>
      </c>
      <c r="P237" t="str">
        <f>IF(user_behavior_dataset!$F237&gt;=2229,"Yes","No")</f>
        <v>No</v>
      </c>
    </row>
    <row r="238" spans="1:16" x14ac:dyDescent="0.3">
      <c r="A238">
        <v>237</v>
      </c>
      <c r="B238" t="s">
        <v>19</v>
      </c>
      <c r="C238" t="s">
        <v>12</v>
      </c>
      <c r="D238">
        <v>524</v>
      </c>
      <c r="E238">
        <v>8.9</v>
      </c>
      <c r="F238">
        <v>2549</v>
      </c>
      <c r="G238">
        <v>88</v>
      </c>
      <c r="H238">
        <v>1730</v>
      </c>
      <c r="I238">
        <v>20</v>
      </c>
      <c r="J238" t="str">
        <f t="shared" si="6"/>
        <v>&lt;25</v>
      </c>
      <c r="K238" t="s">
        <v>15</v>
      </c>
      <c r="L238">
        <v>5</v>
      </c>
      <c r="M238" t="str">
        <f t="shared" si="7"/>
        <v>Yes</v>
      </c>
      <c r="N238" t="str">
        <f>IF(user_behavior_dataset!$D238&lt;60,"Low",
IF(user_behavior_dataset!$D238&lt;=180,"Medium","High"))</f>
        <v>High</v>
      </c>
      <c r="O238" t="str">
        <f>IF(user_behavior_dataset!$H238&gt;=1341,"Yes","No")</f>
        <v>Yes</v>
      </c>
      <c r="P238" t="str">
        <f>IF(user_behavior_dataset!$F238&gt;=2229,"Yes","No")</f>
        <v>Yes</v>
      </c>
    </row>
    <row r="239" spans="1:16" x14ac:dyDescent="0.3">
      <c r="A239">
        <v>238</v>
      </c>
      <c r="B239" t="s">
        <v>14</v>
      </c>
      <c r="C239" t="s">
        <v>12</v>
      </c>
      <c r="D239">
        <v>425</v>
      </c>
      <c r="E239">
        <v>6.9</v>
      </c>
      <c r="F239">
        <v>2142</v>
      </c>
      <c r="G239">
        <v>66</v>
      </c>
      <c r="H239">
        <v>1130</v>
      </c>
      <c r="I239">
        <v>19</v>
      </c>
      <c r="J239" t="str">
        <f t="shared" si="6"/>
        <v>&lt;25</v>
      </c>
      <c r="K239" t="s">
        <v>15</v>
      </c>
      <c r="L239">
        <v>4</v>
      </c>
      <c r="M239" t="str">
        <f t="shared" si="7"/>
        <v>Yes</v>
      </c>
      <c r="N239" t="str">
        <f>IF(user_behavior_dataset!$D239&lt;60,"Low",
IF(user_behavior_dataset!$D239&lt;=180,"Medium","High"))</f>
        <v>High</v>
      </c>
      <c r="O239" t="str">
        <f>IF(user_behavior_dataset!$H239&gt;=1341,"Yes","No")</f>
        <v>No</v>
      </c>
      <c r="P239" t="str">
        <f>IF(user_behavior_dataset!$F239&gt;=2229,"Yes","No")</f>
        <v>No</v>
      </c>
    </row>
    <row r="240" spans="1:16" x14ac:dyDescent="0.3">
      <c r="A240">
        <v>239</v>
      </c>
      <c r="B240" t="s">
        <v>14</v>
      </c>
      <c r="C240" t="s">
        <v>12</v>
      </c>
      <c r="D240">
        <v>64</v>
      </c>
      <c r="E240">
        <v>1.7</v>
      </c>
      <c r="F240">
        <v>585</v>
      </c>
      <c r="G240">
        <v>13</v>
      </c>
      <c r="H240">
        <v>107</v>
      </c>
      <c r="I240">
        <v>53</v>
      </c>
      <c r="J240" t="str">
        <f t="shared" si="6"/>
        <v>40+</v>
      </c>
      <c r="K240" t="s">
        <v>13</v>
      </c>
      <c r="L240">
        <v>1</v>
      </c>
      <c r="M240" t="str">
        <f t="shared" si="7"/>
        <v>Yes</v>
      </c>
      <c r="N240" t="str">
        <f>IF(user_behavior_dataset!$D240&lt;60,"Low",
IF(user_behavior_dataset!$D240&lt;=180,"Medium","High"))</f>
        <v>Medium</v>
      </c>
      <c r="O240" t="str">
        <f>IF(user_behavior_dataset!$H240&gt;=1341,"Yes","No")</f>
        <v>No</v>
      </c>
      <c r="P240" t="str">
        <f>IF(user_behavior_dataset!$F240&gt;=2229,"Yes","No")</f>
        <v>No</v>
      </c>
    </row>
    <row r="241" spans="1:16" x14ac:dyDescent="0.3">
      <c r="A241">
        <v>240</v>
      </c>
      <c r="B241" t="s">
        <v>17</v>
      </c>
      <c r="C241" t="s">
        <v>18</v>
      </c>
      <c r="D241">
        <v>573</v>
      </c>
      <c r="E241">
        <v>10.8</v>
      </c>
      <c r="F241">
        <v>2711</v>
      </c>
      <c r="G241">
        <v>96</v>
      </c>
      <c r="H241">
        <v>2118</v>
      </c>
      <c r="I241">
        <v>33</v>
      </c>
      <c r="J241" t="str">
        <f t="shared" si="6"/>
        <v>25–40</v>
      </c>
      <c r="K241" t="s">
        <v>15</v>
      </c>
      <c r="L241">
        <v>5</v>
      </c>
      <c r="M241" t="str">
        <f t="shared" si="7"/>
        <v>Yes</v>
      </c>
      <c r="N241" t="str">
        <f>IF(user_behavior_dataset!$D241&lt;60,"Low",
IF(user_behavior_dataset!$D241&lt;=180,"Medium","High"))</f>
        <v>High</v>
      </c>
      <c r="O241" t="str">
        <f>IF(user_behavior_dataset!$H241&gt;=1341,"Yes","No")</f>
        <v>Yes</v>
      </c>
      <c r="P241" t="str">
        <f>IF(user_behavior_dataset!$F241&gt;=2229,"Yes","No")</f>
        <v>Yes</v>
      </c>
    </row>
    <row r="242" spans="1:16" x14ac:dyDescent="0.3">
      <c r="A242">
        <v>241</v>
      </c>
      <c r="B242" t="s">
        <v>11</v>
      </c>
      <c r="C242" t="s">
        <v>12</v>
      </c>
      <c r="D242">
        <v>45</v>
      </c>
      <c r="E242">
        <v>1.7</v>
      </c>
      <c r="F242">
        <v>302</v>
      </c>
      <c r="G242">
        <v>16</v>
      </c>
      <c r="H242">
        <v>191</v>
      </c>
      <c r="I242">
        <v>57</v>
      </c>
      <c r="J242" t="str">
        <f t="shared" si="6"/>
        <v>40+</v>
      </c>
      <c r="K242" t="s">
        <v>15</v>
      </c>
      <c r="L242">
        <v>1</v>
      </c>
      <c r="M242" t="str">
        <f t="shared" si="7"/>
        <v>No</v>
      </c>
      <c r="N242" t="str">
        <f>IF(user_behavior_dataset!$D242&lt;60,"Low",
IF(user_behavior_dataset!$D242&lt;=180,"Medium","High"))</f>
        <v>Low</v>
      </c>
      <c r="O242" t="str">
        <f>IF(user_behavior_dataset!$H242&gt;=1341,"Yes","No")</f>
        <v>No</v>
      </c>
      <c r="P242" t="str">
        <f>IF(user_behavior_dataset!$F242&gt;=2229,"Yes","No")</f>
        <v>No</v>
      </c>
    </row>
    <row r="243" spans="1:16" x14ac:dyDescent="0.3">
      <c r="A243">
        <v>242</v>
      </c>
      <c r="B243" t="s">
        <v>16</v>
      </c>
      <c r="C243" t="s">
        <v>12</v>
      </c>
      <c r="D243">
        <v>564</v>
      </c>
      <c r="E243">
        <v>11.7</v>
      </c>
      <c r="F243">
        <v>2764</v>
      </c>
      <c r="G243">
        <v>81</v>
      </c>
      <c r="H243">
        <v>2133</v>
      </c>
      <c r="I243">
        <v>37</v>
      </c>
      <c r="J243" t="str">
        <f t="shared" si="6"/>
        <v>25–40</v>
      </c>
      <c r="K243" t="s">
        <v>15</v>
      </c>
      <c r="L243">
        <v>5</v>
      </c>
      <c r="M243" t="str">
        <f t="shared" si="7"/>
        <v>Yes</v>
      </c>
      <c r="N243" t="str">
        <f>IF(user_behavior_dataset!$D243&lt;60,"Low",
IF(user_behavior_dataset!$D243&lt;=180,"Medium","High"))</f>
        <v>High</v>
      </c>
      <c r="O243" t="str">
        <f>IF(user_behavior_dataset!$H243&gt;=1341,"Yes","No")</f>
        <v>Yes</v>
      </c>
      <c r="P243" t="str">
        <f>IF(user_behavior_dataset!$F243&gt;=2229,"Yes","No")</f>
        <v>Yes</v>
      </c>
    </row>
    <row r="244" spans="1:16" x14ac:dyDescent="0.3">
      <c r="A244">
        <v>243</v>
      </c>
      <c r="B244" t="s">
        <v>14</v>
      </c>
      <c r="C244" t="s">
        <v>12</v>
      </c>
      <c r="D244">
        <v>162</v>
      </c>
      <c r="E244">
        <v>3.5</v>
      </c>
      <c r="F244">
        <v>761</v>
      </c>
      <c r="G244">
        <v>36</v>
      </c>
      <c r="H244">
        <v>338</v>
      </c>
      <c r="I244">
        <v>51</v>
      </c>
      <c r="J244" t="str">
        <f t="shared" si="6"/>
        <v>40+</v>
      </c>
      <c r="K244" t="s">
        <v>13</v>
      </c>
      <c r="L244">
        <v>2</v>
      </c>
      <c r="M244" t="str">
        <f t="shared" si="7"/>
        <v>Yes</v>
      </c>
      <c r="N244" t="str">
        <f>IF(user_behavior_dataset!$D244&lt;60,"Low",
IF(user_behavior_dataset!$D244&lt;=180,"Medium","High"))</f>
        <v>Medium</v>
      </c>
      <c r="O244" t="str">
        <f>IF(user_behavior_dataset!$H244&gt;=1341,"Yes","No")</f>
        <v>No</v>
      </c>
      <c r="P244" t="str">
        <f>IF(user_behavior_dataset!$F244&gt;=2229,"Yes","No")</f>
        <v>No</v>
      </c>
    </row>
    <row r="245" spans="1:16" x14ac:dyDescent="0.3">
      <c r="A245">
        <v>244</v>
      </c>
      <c r="B245" t="s">
        <v>19</v>
      </c>
      <c r="C245" t="s">
        <v>12</v>
      </c>
      <c r="D245">
        <v>451</v>
      </c>
      <c r="E245">
        <v>6.5</v>
      </c>
      <c r="F245">
        <v>2378</v>
      </c>
      <c r="G245">
        <v>69</v>
      </c>
      <c r="H245">
        <v>1341</v>
      </c>
      <c r="I245">
        <v>44</v>
      </c>
      <c r="J245" t="str">
        <f t="shared" si="6"/>
        <v>40+</v>
      </c>
      <c r="K245" t="s">
        <v>13</v>
      </c>
      <c r="L245">
        <v>4</v>
      </c>
      <c r="M245" t="str">
        <f t="shared" si="7"/>
        <v>Yes</v>
      </c>
      <c r="N245" t="str">
        <f>IF(user_behavior_dataset!$D245&lt;60,"Low",
IF(user_behavior_dataset!$D245&lt;=180,"Medium","High"))</f>
        <v>High</v>
      </c>
      <c r="O245" t="str">
        <f>IF(user_behavior_dataset!$H245&gt;=1341,"Yes","No")</f>
        <v>Yes</v>
      </c>
      <c r="P245" t="str">
        <f>IF(user_behavior_dataset!$F245&gt;=2229,"Yes","No")</f>
        <v>Yes</v>
      </c>
    </row>
    <row r="246" spans="1:16" x14ac:dyDescent="0.3">
      <c r="A246">
        <v>245</v>
      </c>
      <c r="B246" t="s">
        <v>14</v>
      </c>
      <c r="C246" t="s">
        <v>12</v>
      </c>
      <c r="D246">
        <v>30</v>
      </c>
      <c r="E246">
        <v>1.3</v>
      </c>
      <c r="F246">
        <v>479</v>
      </c>
      <c r="G246">
        <v>16</v>
      </c>
      <c r="H246">
        <v>253</v>
      </c>
      <c r="I246">
        <v>35</v>
      </c>
      <c r="J246" t="str">
        <f t="shared" si="6"/>
        <v>25–40</v>
      </c>
      <c r="K246" t="s">
        <v>13</v>
      </c>
      <c r="L246">
        <v>1</v>
      </c>
      <c r="M246" t="str">
        <f t="shared" si="7"/>
        <v>No</v>
      </c>
      <c r="N246" t="str">
        <f>IF(user_behavior_dataset!$D246&lt;60,"Low",
IF(user_behavior_dataset!$D246&lt;=180,"Medium","High"))</f>
        <v>Low</v>
      </c>
      <c r="O246" t="str">
        <f>IF(user_behavior_dataset!$H246&gt;=1341,"Yes","No")</f>
        <v>No</v>
      </c>
      <c r="P246" t="str">
        <f>IF(user_behavior_dataset!$F246&gt;=2229,"Yes","No")</f>
        <v>No</v>
      </c>
    </row>
    <row r="247" spans="1:16" x14ac:dyDescent="0.3">
      <c r="A247">
        <v>246</v>
      </c>
      <c r="B247" t="s">
        <v>19</v>
      </c>
      <c r="C247" t="s">
        <v>12</v>
      </c>
      <c r="D247">
        <v>202</v>
      </c>
      <c r="E247">
        <v>5</v>
      </c>
      <c r="F247">
        <v>1542</v>
      </c>
      <c r="G247">
        <v>45</v>
      </c>
      <c r="H247">
        <v>844</v>
      </c>
      <c r="I247">
        <v>29</v>
      </c>
      <c r="J247" t="str">
        <f t="shared" si="6"/>
        <v>25–40</v>
      </c>
      <c r="K247" t="s">
        <v>13</v>
      </c>
      <c r="L247">
        <v>3</v>
      </c>
      <c r="M247" t="str">
        <f t="shared" si="7"/>
        <v>Yes</v>
      </c>
      <c r="N247" t="str">
        <f>IF(user_behavior_dataset!$D247&lt;60,"Low",
IF(user_behavior_dataset!$D247&lt;=180,"Medium","High"))</f>
        <v>High</v>
      </c>
      <c r="O247" t="str">
        <f>IF(user_behavior_dataset!$H247&gt;=1341,"Yes","No")</f>
        <v>No</v>
      </c>
      <c r="P247" t="str">
        <f>IF(user_behavior_dataset!$F247&gt;=2229,"Yes","No")</f>
        <v>No</v>
      </c>
    </row>
    <row r="248" spans="1:16" x14ac:dyDescent="0.3">
      <c r="A248">
        <v>247</v>
      </c>
      <c r="B248" t="s">
        <v>11</v>
      </c>
      <c r="C248" t="s">
        <v>12</v>
      </c>
      <c r="D248">
        <v>71</v>
      </c>
      <c r="E248">
        <v>1.5</v>
      </c>
      <c r="F248">
        <v>590</v>
      </c>
      <c r="G248">
        <v>17</v>
      </c>
      <c r="H248">
        <v>257</v>
      </c>
      <c r="I248">
        <v>33</v>
      </c>
      <c r="J248" t="str">
        <f t="shared" si="6"/>
        <v>25–40</v>
      </c>
      <c r="K248" t="s">
        <v>13</v>
      </c>
      <c r="L248">
        <v>1</v>
      </c>
      <c r="M248" t="str">
        <f t="shared" si="7"/>
        <v>Yes</v>
      </c>
      <c r="N248" t="str">
        <f>IF(user_behavior_dataset!$D248&lt;60,"Low",
IF(user_behavior_dataset!$D248&lt;=180,"Medium","High"))</f>
        <v>Medium</v>
      </c>
      <c r="O248" t="str">
        <f>IF(user_behavior_dataset!$H248&gt;=1341,"Yes","No")</f>
        <v>No</v>
      </c>
      <c r="P248" t="str">
        <f>IF(user_behavior_dataset!$F248&gt;=2229,"Yes","No")</f>
        <v>No</v>
      </c>
    </row>
    <row r="249" spans="1:16" x14ac:dyDescent="0.3">
      <c r="A249">
        <v>248</v>
      </c>
      <c r="B249" t="s">
        <v>11</v>
      </c>
      <c r="C249" t="s">
        <v>12</v>
      </c>
      <c r="D249">
        <v>314</v>
      </c>
      <c r="E249">
        <v>6.2</v>
      </c>
      <c r="F249">
        <v>2205</v>
      </c>
      <c r="G249">
        <v>63</v>
      </c>
      <c r="H249">
        <v>1066</v>
      </c>
      <c r="I249">
        <v>19</v>
      </c>
      <c r="J249" t="str">
        <f t="shared" si="6"/>
        <v>&lt;25</v>
      </c>
      <c r="K249" t="s">
        <v>13</v>
      </c>
      <c r="L249">
        <v>4</v>
      </c>
      <c r="M249" t="str">
        <f t="shared" si="7"/>
        <v>Yes</v>
      </c>
      <c r="N249" t="str">
        <f>IF(user_behavior_dataset!$D249&lt;60,"Low",
IF(user_behavior_dataset!$D249&lt;=180,"Medium","High"))</f>
        <v>High</v>
      </c>
      <c r="O249" t="str">
        <f>IF(user_behavior_dataset!$H249&gt;=1341,"Yes","No")</f>
        <v>No</v>
      </c>
      <c r="P249" t="str">
        <f>IF(user_behavior_dataset!$F249&gt;=2229,"Yes","No")</f>
        <v>No</v>
      </c>
    </row>
    <row r="250" spans="1:16" x14ac:dyDescent="0.3">
      <c r="A250">
        <v>249</v>
      </c>
      <c r="B250" t="s">
        <v>16</v>
      </c>
      <c r="C250" t="s">
        <v>12</v>
      </c>
      <c r="D250">
        <v>168</v>
      </c>
      <c r="E250">
        <v>4</v>
      </c>
      <c r="F250">
        <v>866</v>
      </c>
      <c r="G250">
        <v>22</v>
      </c>
      <c r="H250">
        <v>581</v>
      </c>
      <c r="I250">
        <v>50</v>
      </c>
      <c r="J250" t="str">
        <f t="shared" si="6"/>
        <v>40+</v>
      </c>
      <c r="K250" t="s">
        <v>15</v>
      </c>
      <c r="L250">
        <v>2</v>
      </c>
      <c r="M250" t="str">
        <f t="shared" si="7"/>
        <v>Yes</v>
      </c>
      <c r="N250" t="str">
        <f>IF(user_behavior_dataset!$D250&lt;60,"Low",
IF(user_behavior_dataset!$D250&lt;=180,"Medium","High"))</f>
        <v>Medium</v>
      </c>
      <c r="O250" t="str">
        <f>IF(user_behavior_dataset!$H250&gt;=1341,"Yes","No")</f>
        <v>No</v>
      </c>
      <c r="P250" t="str">
        <f>IF(user_behavior_dataset!$F250&gt;=2229,"Yes","No")</f>
        <v>No</v>
      </c>
    </row>
    <row r="251" spans="1:16" x14ac:dyDescent="0.3">
      <c r="A251">
        <v>250</v>
      </c>
      <c r="B251" t="s">
        <v>11</v>
      </c>
      <c r="C251" t="s">
        <v>12</v>
      </c>
      <c r="D251">
        <v>75</v>
      </c>
      <c r="E251">
        <v>1.9</v>
      </c>
      <c r="F251">
        <v>537</v>
      </c>
      <c r="G251">
        <v>13</v>
      </c>
      <c r="H251">
        <v>230</v>
      </c>
      <c r="I251">
        <v>58</v>
      </c>
      <c r="J251" t="str">
        <f t="shared" si="6"/>
        <v>40+</v>
      </c>
      <c r="K251" t="s">
        <v>15</v>
      </c>
      <c r="L251">
        <v>1</v>
      </c>
      <c r="M251" t="str">
        <f t="shared" si="7"/>
        <v>Yes</v>
      </c>
      <c r="N251" t="str">
        <f>IF(user_behavior_dataset!$D251&lt;60,"Low",
IF(user_behavior_dataset!$D251&lt;=180,"Medium","High"))</f>
        <v>Medium</v>
      </c>
      <c r="O251" t="str">
        <f>IF(user_behavior_dataset!$H251&gt;=1341,"Yes","No")</f>
        <v>No</v>
      </c>
      <c r="P251" t="str">
        <f>IF(user_behavior_dataset!$F251&gt;=2229,"Yes","No")</f>
        <v>No</v>
      </c>
    </row>
    <row r="252" spans="1:16" x14ac:dyDescent="0.3">
      <c r="A252">
        <v>251</v>
      </c>
      <c r="B252" t="s">
        <v>14</v>
      </c>
      <c r="C252" t="s">
        <v>12</v>
      </c>
      <c r="D252">
        <v>42</v>
      </c>
      <c r="E252">
        <v>1.4</v>
      </c>
      <c r="F252">
        <v>324</v>
      </c>
      <c r="G252">
        <v>13</v>
      </c>
      <c r="H252">
        <v>272</v>
      </c>
      <c r="I252">
        <v>29</v>
      </c>
      <c r="J252" t="str">
        <f t="shared" si="6"/>
        <v>25–40</v>
      </c>
      <c r="K252" t="s">
        <v>15</v>
      </c>
      <c r="L252">
        <v>1</v>
      </c>
      <c r="M252" t="str">
        <f t="shared" si="7"/>
        <v>No</v>
      </c>
      <c r="N252" t="str">
        <f>IF(user_behavior_dataset!$D252&lt;60,"Low",
IF(user_behavior_dataset!$D252&lt;=180,"Medium","High"))</f>
        <v>Low</v>
      </c>
      <c r="O252" t="str">
        <f>IF(user_behavior_dataset!$H252&gt;=1341,"Yes","No")</f>
        <v>No</v>
      </c>
      <c r="P252" t="str">
        <f>IF(user_behavior_dataset!$F252&gt;=2229,"Yes","No")</f>
        <v>No</v>
      </c>
    </row>
    <row r="253" spans="1:16" x14ac:dyDescent="0.3">
      <c r="A253">
        <v>252</v>
      </c>
      <c r="B253" t="s">
        <v>14</v>
      </c>
      <c r="C253" t="s">
        <v>12</v>
      </c>
      <c r="D253">
        <v>441</v>
      </c>
      <c r="E253">
        <v>7.9</v>
      </c>
      <c r="F253">
        <v>2332</v>
      </c>
      <c r="G253">
        <v>78</v>
      </c>
      <c r="H253">
        <v>1477</v>
      </c>
      <c r="I253">
        <v>23</v>
      </c>
      <c r="J253" t="str">
        <f t="shared" si="6"/>
        <v>&lt;25</v>
      </c>
      <c r="K253" t="s">
        <v>15</v>
      </c>
      <c r="L253">
        <v>4</v>
      </c>
      <c r="M253" t="str">
        <f t="shared" si="7"/>
        <v>Yes</v>
      </c>
      <c r="N253" t="str">
        <f>IF(user_behavior_dataset!$D253&lt;60,"Low",
IF(user_behavior_dataset!$D253&lt;=180,"Medium","High"))</f>
        <v>High</v>
      </c>
      <c r="O253" t="str">
        <f>IF(user_behavior_dataset!$H253&gt;=1341,"Yes","No")</f>
        <v>Yes</v>
      </c>
      <c r="P253" t="str">
        <f>IF(user_behavior_dataset!$F253&gt;=2229,"Yes","No")</f>
        <v>Yes</v>
      </c>
    </row>
    <row r="254" spans="1:16" x14ac:dyDescent="0.3">
      <c r="A254">
        <v>253</v>
      </c>
      <c r="B254" t="s">
        <v>11</v>
      </c>
      <c r="C254" t="s">
        <v>12</v>
      </c>
      <c r="D254">
        <v>523</v>
      </c>
      <c r="E254">
        <v>10.5</v>
      </c>
      <c r="F254">
        <v>2460</v>
      </c>
      <c r="G254">
        <v>99</v>
      </c>
      <c r="H254">
        <v>1787</v>
      </c>
      <c r="I254">
        <v>22</v>
      </c>
      <c r="J254" t="str">
        <f t="shared" si="6"/>
        <v>&lt;25</v>
      </c>
      <c r="K254" t="s">
        <v>13</v>
      </c>
      <c r="L254">
        <v>5</v>
      </c>
      <c r="M254" t="str">
        <f t="shared" si="7"/>
        <v>Yes</v>
      </c>
      <c r="N254" t="str">
        <f>IF(user_behavior_dataset!$D254&lt;60,"Low",
IF(user_behavior_dataset!$D254&lt;=180,"Medium","High"))</f>
        <v>High</v>
      </c>
      <c r="O254" t="str">
        <f>IF(user_behavior_dataset!$H254&gt;=1341,"Yes","No")</f>
        <v>Yes</v>
      </c>
      <c r="P254" t="str">
        <f>IF(user_behavior_dataset!$F254&gt;=2229,"Yes","No")</f>
        <v>Yes</v>
      </c>
    </row>
    <row r="255" spans="1:16" x14ac:dyDescent="0.3">
      <c r="A255">
        <v>254</v>
      </c>
      <c r="B255" t="s">
        <v>16</v>
      </c>
      <c r="C255" t="s">
        <v>12</v>
      </c>
      <c r="D255">
        <v>100</v>
      </c>
      <c r="E255">
        <v>2.4</v>
      </c>
      <c r="F255">
        <v>982</v>
      </c>
      <c r="G255">
        <v>31</v>
      </c>
      <c r="H255">
        <v>478</v>
      </c>
      <c r="I255">
        <v>48</v>
      </c>
      <c r="J255" t="str">
        <f t="shared" si="6"/>
        <v>40+</v>
      </c>
      <c r="K255" t="s">
        <v>15</v>
      </c>
      <c r="L255">
        <v>2</v>
      </c>
      <c r="M255" t="str">
        <f t="shared" si="7"/>
        <v>Yes</v>
      </c>
      <c r="N255" t="str">
        <f>IF(user_behavior_dataset!$D255&lt;60,"Low",
IF(user_behavior_dataset!$D255&lt;=180,"Medium","High"))</f>
        <v>Medium</v>
      </c>
      <c r="O255" t="str">
        <f>IF(user_behavior_dataset!$H255&gt;=1341,"Yes","No")</f>
        <v>No</v>
      </c>
      <c r="P255" t="str">
        <f>IF(user_behavior_dataset!$F255&gt;=2229,"Yes","No")</f>
        <v>No</v>
      </c>
    </row>
    <row r="256" spans="1:16" x14ac:dyDescent="0.3">
      <c r="A256">
        <v>255</v>
      </c>
      <c r="B256" t="s">
        <v>14</v>
      </c>
      <c r="C256" t="s">
        <v>12</v>
      </c>
      <c r="D256">
        <v>52</v>
      </c>
      <c r="E256">
        <v>1.2</v>
      </c>
      <c r="F256">
        <v>398</v>
      </c>
      <c r="G256">
        <v>14</v>
      </c>
      <c r="H256">
        <v>172</v>
      </c>
      <c r="I256">
        <v>24</v>
      </c>
      <c r="J256" t="str">
        <f t="shared" si="6"/>
        <v>&lt;25</v>
      </c>
      <c r="K256" t="s">
        <v>15</v>
      </c>
      <c r="L256">
        <v>1</v>
      </c>
      <c r="M256" t="str">
        <f t="shared" si="7"/>
        <v>No</v>
      </c>
      <c r="N256" t="str">
        <f>IF(user_behavior_dataset!$D256&lt;60,"Low",
IF(user_behavior_dataset!$D256&lt;=180,"Medium","High"))</f>
        <v>Low</v>
      </c>
      <c r="O256" t="str">
        <f>IF(user_behavior_dataset!$H256&gt;=1341,"Yes","No")</f>
        <v>No</v>
      </c>
      <c r="P256" t="str">
        <f>IF(user_behavior_dataset!$F256&gt;=2229,"Yes","No")</f>
        <v>No</v>
      </c>
    </row>
    <row r="257" spans="1:16" x14ac:dyDescent="0.3">
      <c r="A257">
        <v>256</v>
      </c>
      <c r="B257" t="s">
        <v>14</v>
      </c>
      <c r="C257" t="s">
        <v>12</v>
      </c>
      <c r="D257">
        <v>397</v>
      </c>
      <c r="E257">
        <v>7</v>
      </c>
      <c r="F257">
        <v>2352</v>
      </c>
      <c r="G257">
        <v>77</v>
      </c>
      <c r="H257">
        <v>1101</v>
      </c>
      <c r="I257">
        <v>46</v>
      </c>
      <c r="J257" t="str">
        <f t="shared" si="6"/>
        <v>40+</v>
      </c>
      <c r="K257" t="s">
        <v>15</v>
      </c>
      <c r="L257">
        <v>4</v>
      </c>
      <c r="M257" t="str">
        <f t="shared" si="7"/>
        <v>Yes</v>
      </c>
      <c r="N257" t="str">
        <f>IF(user_behavior_dataset!$D257&lt;60,"Low",
IF(user_behavior_dataset!$D257&lt;=180,"Medium","High"))</f>
        <v>High</v>
      </c>
      <c r="O257" t="str">
        <f>IF(user_behavior_dataset!$H257&gt;=1341,"Yes","No")</f>
        <v>No</v>
      </c>
      <c r="P257" t="str">
        <f>IF(user_behavior_dataset!$F257&gt;=2229,"Yes","No")</f>
        <v>Yes</v>
      </c>
    </row>
    <row r="258" spans="1:16" x14ac:dyDescent="0.3">
      <c r="A258">
        <v>257</v>
      </c>
      <c r="B258" t="s">
        <v>16</v>
      </c>
      <c r="C258" t="s">
        <v>12</v>
      </c>
      <c r="D258">
        <v>424</v>
      </c>
      <c r="E258">
        <v>7.7</v>
      </c>
      <c r="F258">
        <v>1863</v>
      </c>
      <c r="G258">
        <v>65</v>
      </c>
      <c r="H258">
        <v>1116</v>
      </c>
      <c r="I258">
        <v>52</v>
      </c>
      <c r="J258" t="str">
        <f t="shared" si="6"/>
        <v>40+</v>
      </c>
      <c r="K258" t="s">
        <v>13</v>
      </c>
      <c r="L258">
        <v>4</v>
      </c>
      <c r="M258" t="str">
        <f t="shared" si="7"/>
        <v>Yes</v>
      </c>
      <c r="N258" t="str">
        <f>IF(user_behavior_dataset!$D258&lt;60,"Low",
IF(user_behavior_dataset!$D258&lt;=180,"Medium","High"))</f>
        <v>High</v>
      </c>
      <c r="O258" t="str">
        <f>IF(user_behavior_dataset!$H258&gt;=1341,"Yes","No")</f>
        <v>No</v>
      </c>
      <c r="P258" t="str">
        <f>IF(user_behavior_dataset!$F258&gt;=2229,"Yes","No")</f>
        <v>No</v>
      </c>
    </row>
    <row r="259" spans="1:16" x14ac:dyDescent="0.3">
      <c r="A259">
        <v>258</v>
      </c>
      <c r="B259" t="s">
        <v>16</v>
      </c>
      <c r="C259" t="s">
        <v>12</v>
      </c>
      <c r="D259">
        <v>272</v>
      </c>
      <c r="E259">
        <v>5</v>
      </c>
      <c r="F259">
        <v>1655</v>
      </c>
      <c r="G259">
        <v>45</v>
      </c>
      <c r="H259">
        <v>686</v>
      </c>
      <c r="I259">
        <v>19</v>
      </c>
      <c r="J259" t="str">
        <f t="shared" ref="J259:J322" si="8">IF(I259="","Unknown",IF(I259&lt;25,"&lt;25",IF(I259&lt;=40,"25–40","40+")))</f>
        <v>&lt;25</v>
      </c>
      <c r="K259" t="s">
        <v>15</v>
      </c>
      <c r="L259">
        <v>3</v>
      </c>
      <c r="M259" t="str">
        <f t="shared" ref="M259:M322" si="9">IF(D259&gt;=60,"Yes","No")</f>
        <v>Yes</v>
      </c>
      <c r="N259" t="str">
        <f>IF(user_behavior_dataset!$D259&lt;60,"Low",
IF(user_behavior_dataset!$D259&lt;=180,"Medium","High"))</f>
        <v>High</v>
      </c>
      <c r="O259" t="str">
        <f>IF(user_behavior_dataset!$H259&gt;=1341,"Yes","No")</f>
        <v>No</v>
      </c>
      <c r="P259" t="str">
        <f>IF(user_behavior_dataset!$F259&gt;=2229,"Yes","No")</f>
        <v>No</v>
      </c>
    </row>
    <row r="260" spans="1:16" x14ac:dyDescent="0.3">
      <c r="A260">
        <v>259</v>
      </c>
      <c r="B260" t="s">
        <v>16</v>
      </c>
      <c r="C260" t="s">
        <v>12</v>
      </c>
      <c r="D260">
        <v>201</v>
      </c>
      <c r="E260">
        <v>4</v>
      </c>
      <c r="F260">
        <v>1791</v>
      </c>
      <c r="G260">
        <v>50</v>
      </c>
      <c r="H260">
        <v>914</v>
      </c>
      <c r="I260">
        <v>18</v>
      </c>
      <c r="J260" t="str">
        <f t="shared" si="8"/>
        <v>&lt;25</v>
      </c>
      <c r="K260" t="s">
        <v>13</v>
      </c>
      <c r="L260">
        <v>3</v>
      </c>
      <c r="M260" t="str">
        <f t="shared" si="9"/>
        <v>Yes</v>
      </c>
      <c r="N260" t="str">
        <f>IF(user_behavior_dataset!$D260&lt;60,"Low",
IF(user_behavior_dataset!$D260&lt;=180,"Medium","High"))</f>
        <v>High</v>
      </c>
      <c r="O260" t="str">
        <f>IF(user_behavior_dataset!$H260&gt;=1341,"Yes","No")</f>
        <v>No</v>
      </c>
      <c r="P260" t="str">
        <f>IF(user_behavior_dataset!$F260&gt;=2229,"Yes","No")</f>
        <v>No</v>
      </c>
    </row>
    <row r="261" spans="1:16" x14ac:dyDescent="0.3">
      <c r="A261">
        <v>260</v>
      </c>
      <c r="B261" t="s">
        <v>16</v>
      </c>
      <c r="C261" t="s">
        <v>12</v>
      </c>
      <c r="D261">
        <v>570</v>
      </c>
      <c r="E261">
        <v>9</v>
      </c>
      <c r="F261">
        <v>2613</v>
      </c>
      <c r="G261">
        <v>98</v>
      </c>
      <c r="H261">
        <v>2497</v>
      </c>
      <c r="I261">
        <v>49</v>
      </c>
      <c r="J261" t="str">
        <f t="shared" si="8"/>
        <v>40+</v>
      </c>
      <c r="K261" t="s">
        <v>15</v>
      </c>
      <c r="L261">
        <v>5</v>
      </c>
      <c r="M261" t="str">
        <f t="shared" si="9"/>
        <v>Yes</v>
      </c>
      <c r="N261" t="str">
        <f>IF(user_behavior_dataset!$D261&lt;60,"Low",
IF(user_behavior_dataset!$D261&lt;=180,"Medium","High"))</f>
        <v>High</v>
      </c>
      <c r="O261" t="str">
        <f>IF(user_behavior_dataset!$H261&gt;=1341,"Yes","No")</f>
        <v>Yes</v>
      </c>
      <c r="P261" t="str">
        <f>IF(user_behavior_dataset!$F261&gt;=2229,"Yes","No")</f>
        <v>Yes</v>
      </c>
    </row>
    <row r="262" spans="1:16" x14ac:dyDescent="0.3">
      <c r="A262">
        <v>261</v>
      </c>
      <c r="B262" t="s">
        <v>16</v>
      </c>
      <c r="C262" t="s">
        <v>12</v>
      </c>
      <c r="D262">
        <v>64</v>
      </c>
      <c r="E262">
        <v>1.3</v>
      </c>
      <c r="F262">
        <v>490</v>
      </c>
      <c r="G262">
        <v>14</v>
      </c>
      <c r="H262">
        <v>151</v>
      </c>
      <c r="I262">
        <v>43</v>
      </c>
      <c r="J262" t="str">
        <f t="shared" si="8"/>
        <v>40+</v>
      </c>
      <c r="K262" t="s">
        <v>15</v>
      </c>
      <c r="L262">
        <v>1</v>
      </c>
      <c r="M262" t="str">
        <f t="shared" si="9"/>
        <v>Yes</v>
      </c>
      <c r="N262" t="str">
        <f>IF(user_behavior_dataset!$D262&lt;60,"Low",
IF(user_behavior_dataset!$D262&lt;=180,"Medium","High"))</f>
        <v>Medium</v>
      </c>
      <c r="O262" t="str">
        <f>IF(user_behavior_dataset!$H262&gt;=1341,"Yes","No")</f>
        <v>No</v>
      </c>
      <c r="P262" t="str">
        <f>IF(user_behavior_dataset!$F262&gt;=2229,"Yes","No")</f>
        <v>No</v>
      </c>
    </row>
    <row r="263" spans="1:16" x14ac:dyDescent="0.3">
      <c r="A263">
        <v>262</v>
      </c>
      <c r="B263" t="s">
        <v>17</v>
      </c>
      <c r="C263" t="s">
        <v>18</v>
      </c>
      <c r="D263">
        <v>334</v>
      </c>
      <c r="E263">
        <v>6.6</v>
      </c>
      <c r="F263">
        <v>2394</v>
      </c>
      <c r="G263">
        <v>68</v>
      </c>
      <c r="H263">
        <v>1227</v>
      </c>
      <c r="I263">
        <v>46</v>
      </c>
      <c r="J263" t="str">
        <f t="shared" si="8"/>
        <v>40+</v>
      </c>
      <c r="K263" t="s">
        <v>15</v>
      </c>
      <c r="L263">
        <v>4</v>
      </c>
      <c r="M263" t="str">
        <f t="shared" si="9"/>
        <v>Yes</v>
      </c>
      <c r="N263" t="str">
        <f>IF(user_behavior_dataset!$D263&lt;60,"Low",
IF(user_behavior_dataset!$D263&lt;=180,"Medium","High"))</f>
        <v>High</v>
      </c>
      <c r="O263" t="str">
        <f>IF(user_behavior_dataset!$H263&gt;=1341,"Yes","No")</f>
        <v>No</v>
      </c>
      <c r="P263" t="str">
        <f>IF(user_behavior_dataset!$F263&gt;=2229,"Yes","No")</f>
        <v>Yes</v>
      </c>
    </row>
    <row r="264" spans="1:16" x14ac:dyDescent="0.3">
      <c r="A264">
        <v>263</v>
      </c>
      <c r="B264" t="s">
        <v>17</v>
      </c>
      <c r="C264" t="s">
        <v>18</v>
      </c>
      <c r="D264">
        <v>518</v>
      </c>
      <c r="E264">
        <v>9.6</v>
      </c>
      <c r="F264">
        <v>2954</v>
      </c>
      <c r="G264">
        <v>93</v>
      </c>
      <c r="H264">
        <v>2125</v>
      </c>
      <c r="I264">
        <v>34</v>
      </c>
      <c r="J264" t="str">
        <f t="shared" si="8"/>
        <v>25–40</v>
      </c>
      <c r="K264" t="s">
        <v>15</v>
      </c>
      <c r="L264">
        <v>5</v>
      </c>
      <c r="M264" t="str">
        <f t="shared" si="9"/>
        <v>Yes</v>
      </c>
      <c r="N264" t="str">
        <f>IF(user_behavior_dataset!$D264&lt;60,"Low",
IF(user_behavior_dataset!$D264&lt;=180,"Medium","High"))</f>
        <v>High</v>
      </c>
      <c r="O264" t="str">
        <f>IF(user_behavior_dataset!$H264&gt;=1341,"Yes","No")</f>
        <v>Yes</v>
      </c>
      <c r="P264" t="str">
        <f>IF(user_behavior_dataset!$F264&gt;=2229,"Yes","No")</f>
        <v>Yes</v>
      </c>
    </row>
    <row r="265" spans="1:16" x14ac:dyDescent="0.3">
      <c r="A265">
        <v>264</v>
      </c>
      <c r="B265" t="s">
        <v>19</v>
      </c>
      <c r="C265" t="s">
        <v>12</v>
      </c>
      <c r="D265">
        <v>70</v>
      </c>
      <c r="E265">
        <v>1.7</v>
      </c>
      <c r="F265">
        <v>359</v>
      </c>
      <c r="G265">
        <v>10</v>
      </c>
      <c r="H265">
        <v>109</v>
      </c>
      <c r="I265">
        <v>57</v>
      </c>
      <c r="J265" t="str">
        <f t="shared" si="8"/>
        <v>40+</v>
      </c>
      <c r="K265" t="s">
        <v>13</v>
      </c>
      <c r="L265">
        <v>1</v>
      </c>
      <c r="M265" t="str">
        <f t="shared" si="9"/>
        <v>Yes</v>
      </c>
      <c r="N265" t="str">
        <f>IF(user_behavior_dataset!$D265&lt;60,"Low",
IF(user_behavior_dataset!$D265&lt;=180,"Medium","High"))</f>
        <v>Medium</v>
      </c>
      <c r="O265" t="str">
        <f>IF(user_behavior_dataset!$H265&gt;=1341,"Yes","No")</f>
        <v>No</v>
      </c>
      <c r="P265" t="str">
        <f>IF(user_behavior_dataset!$F265&gt;=2229,"Yes","No")</f>
        <v>No</v>
      </c>
    </row>
    <row r="266" spans="1:16" x14ac:dyDescent="0.3">
      <c r="A266">
        <v>265</v>
      </c>
      <c r="B266" t="s">
        <v>17</v>
      </c>
      <c r="C266" t="s">
        <v>18</v>
      </c>
      <c r="D266">
        <v>334</v>
      </c>
      <c r="E266">
        <v>6.8</v>
      </c>
      <c r="F266">
        <v>2000</v>
      </c>
      <c r="G266">
        <v>77</v>
      </c>
      <c r="H266">
        <v>1079</v>
      </c>
      <c r="I266">
        <v>40</v>
      </c>
      <c r="J266" t="str">
        <f t="shared" si="8"/>
        <v>25–40</v>
      </c>
      <c r="K266" t="s">
        <v>15</v>
      </c>
      <c r="L266">
        <v>4</v>
      </c>
      <c r="M266" t="str">
        <f t="shared" si="9"/>
        <v>Yes</v>
      </c>
      <c r="N266" t="str">
        <f>IF(user_behavior_dataset!$D266&lt;60,"Low",
IF(user_behavior_dataset!$D266&lt;=180,"Medium","High"))</f>
        <v>High</v>
      </c>
      <c r="O266" t="str">
        <f>IF(user_behavior_dataset!$H266&gt;=1341,"Yes","No")</f>
        <v>No</v>
      </c>
      <c r="P266" t="str">
        <f>IF(user_behavior_dataset!$F266&gt;=2229,"Yes","No")</f>
        <v>No</v>
      </c>
    </row>
    <row r="267" spans="1:16" x14ac:dyDescent="0.3">
      <c r="A267">
        <v>266</v>
      </c>
      <c r="B267" t="s">
        <v>16</v>
      </c>
      <c r="C267" t="s">
        <v>12</v>
      </c>
      <c r="D267">
        <v>563</v>
      </c>
      <c r="E267">
        <v>8.4</v>
      </c>
      <c r="F267">
        <v>2849</v>
      </c>
      <c r="G267">
        <v>85</v>
      </c>
      <c r="H267">
        <v>1508</v>
      </c>
      <c r="I267">
        <v>25</v>
      </c>
      <c r="J267" t="str">
        <f t="shared" si="8"/>
        <v>25–40</v>
      </c>
      <c r="K267" t="s">
        <v>13</v>
      </c>
      <c r="L267">
        <v>5</v>
      </c>
      <c r="M267" t="str">
        <f t="shared" si="9"/>
        <v>Yes</v>
      </c>
      <c r="N267" t="str">
        <f>IF(user_behavior_dataset!$D267&lt;60,"Low",
IF(user_behavior_dataset!$D267&lt;=180,"Medium","High"))</f>
        <v>High</v>
      </c>
      <c r="O267" t="str">
        <f>IF(user_behavior_dataset!$H267&gt;=1341,"Yes","No")</f>
        <v>Yes</v>
      </c>
      <c r="P267" t="str">
        <f>IF(user_behavior_dataset!$F267&gt;=2229,"Yes","No")</f>
        <v>Yes</v>
      </c>
    </row>
    <row r="268" spans="1:16" x14ac:dyDescent="0.3">
      <c r="A268">
        <v>267</v>
      </c>
      <c r="B268" t="s">
        <v>17</v>
      </c>
      <c r="C268" t="s">
        <v>18</v>
      </c>
      <c r="D268">
        <v>181</v>
      </c>
      <c r="E268">
        <v>4.0999999999999996</v>
      </c>
      <c r="F268">
        <v>1608</v>
      </c>
      <c r="G268">
        <v>43</v>
      </c>
      <c r="H268">
        <v>752</v>
      </c>
      <c r="I268">
        <v>22</v>
      </c>
      <c r="J268" t="str">
        <f t="shared" si="8"/>
        <v>&lt;25</v>
      </c>
      <c r="K268" t="s">
        <v>15</v>
      </c>
      <c r="L268">
        <v>3</v>
      </c>
      <c r="M268" t="str">
        <f t="shared" si="9"/>
        <v>Yes</v>
      </c>
      <c r="N268" t="str">
        <f>IF(user_behavior_dataset!$D268&lt;60,"Low",
IF(user_behavior_dataset!$D268&lt;=180,"Medium","High"))</f>
        <v>High</v>
      </c>
      <c r="O268" t="str">
        <f>IF(user_behavior_dataset!$H268&gt;=1341,"Yes","No")</f>
        <v>No</v>
      </c>
      <c r="P268" t="str">
        <f>IF(user_behavior_dataset!$F268&gt;=2229,"Yes","No")</f>
        <v>No</v>
      </c>
    </row>
    <row r="269" spans="1:16" x14ac:dyDescent="0.3">
      <c r="A269">
        <v>268</v>
      </c>
      <c r="B269" t="s">
        <v>14</v>
      </c>
      <c r="C269" t="s">
        <v>12</v>
      </c>
      <c r="D269">
        <v>584</v>
      </c>
      <c r="E269">
        <v>9.4</v>
      </c>
      <c r="F269">
        <v>2766</v>
      </c>
      <c r="G269">
        <v>84</v>
      </c>
      <c r="H269">
        <v>2151</v>
      </c>
      <c r="I269">
        <v>32</v>
      </c>
      <c r="J269" t="str">
        <f t="shared" si="8"/>
        <v>25–40</v>
      </c>
      <c r="K269" t="s">
        <v>13</v>
      </c>
      <c r="L269">
        <v>5</v>
      </c>
      <c r="M269" t="str">
        <f t="shared" si="9"/>
        <v>Yes</v>
      </c>
      <c r="N269" t="str">
        <f>IF(user_behavior_dataset!$D269&lt;60,"Low",
IF(user_behavior_dataset!$D269&lt;=180,"Medium","High"))</f>
        <v>High</v>
      </c>
      <c r="O269" t="str">
        <f>IF(user_behavior_dataset!$H269&gt;=1341,"Yes","No")</f>
        <v>Yes</v>
      </c>
      <c r="P269" t="str">
        <f>IF(user_behavior_dataset!$F269&gt;=2229,"Yes","No")</f>
        <v>Yes</v>
      </c>
    </row>
    <row r="270" spans="1:16" x14ac:dyDescent="0.3">
      <c r="A270">
        <v>269</v>
      </c>
      <c r="B270" t="s">
        <v>19</v>
      </c>
      <c r="C270" t="s">
        <v>12</v>
      </c>
      <c r="D270">
        <v>208</v>
      </c>
      <c r="E270">
        <v>4.7</v>
      </c>
      <c r="F270">
        <v>1642</v>
      </c>
      <c r="G270">
        <v>45</v>
      </c>
      <c r="H270">
        <v>861</v>
      </c>
      <c r="I270">
        <v>55</v>
      </c>
      <c r="J270" t="str">
        <f t="shared" si="8"/>
        <v>40+</v>
      </c>
      <c r="K270" t="s">
        <v>13</v>
      </c>
      <c r="L270">
        <v>3</v>
      </c>
      <c r="M270" t="str">
        <f t="shared" si="9"/>
        <v>Yes</v>
      </c>
      <c r="N270" t="str">
        <f>IF(user_behavior_dataset!$D270&lt;60,"Low",
IF(user_behavior_dataset!$D270&lt;=180,"Medium","High"))</f>
        <v>High</v>
      </c>
      <c r="O270" t="str">
        <f>IF(user_behavior_dataset!$H270&gt;=1341,"Yes","No")</f>
        <v>No</v>
      </c>
      <c r="P270" t="str">
        <f>IF(user_behavior_dataset!$F270&gt;=2229,"Yes","No")</f>
        <v>No</v>
      </c>
    </row>
    <row r="271" spans="1:16" x14ac:dyDescent="0.3">
      <c r="A271">
        <v>270</v>
      </c>
      <c r="B271" t="s">
        <v>19</v>
      </c>
      <c r="C271" t="s">
        <v>12</v>
      </c>
      <c r="D271">
        <v>381</v>
      </c>
      <c r="E271">
        <v>6.6</v>
      </c>
      <c r="F271">
        <v>2160</v>
      </c>
      <c r="G271">
        <v>69</v>
      </c>
      <c r="H271">
        <v>1450</v>
      </c>
      <c r="I271">
        <v>20</v>
      </c>
      <c r="J271" t="str">
        <f t="shared" si="8"/>
        <v>&lt;25</v>
      </c>
      <c r="K271" t="s">
        <v>13</v>
      </c>
      <c r="L271">
        <v>4</v>
      </c>
      <c r="M271" t="str">
        <f t="shared" si="9"/>
        <v>Yes</v>
      </c>
      <c r="N271" t="str">
        <f>IF(user_behavior_dataset!$D271&lt;60,"Low",
IF(user_behavior_dataset!$D271&lt;=180,"Medium","High"))</f>
        <v>High</v>
      </c>
      <c r="O271" t="str">
        <f>IF(user_behavior_dataset!$H271&gt;=1341,"Yes","No")</f>
        <v>Yes</v>
      </c>
      <c r="P271" t="str">
        <f>IF(user_behavior_dataset!$F271&gt;=2229,"Yes","No")</f>
        <v>No</v>
      </c>
    </row>
    <row r="272" spans="1:16" x14ac:dyDescent="0.3">
      <c r="A272">
        <v>271</v>
      </c>
      <c r="B272" t="s">
        <v>16</v>
      </c>
      <c r="C272" t="s">
        <v>12</v>
      </c>
      <c r="D272">
        <v>426</v>
      </c>
      <c r="E272">
        <v>6.5</v>
      </c>
      <c r="F272">
        <v>1969</v>
      </c>
      <c r="G272">
        <v>78</v>
      </c>
      <c r="H272">
        <v>1266</v>
      </c>
      <c r="I272">
        <v>53</v>
      </c>
      <c r="J272" t="str">
        <f t="shared" si="8"/>
        <v>40+</v>
      </c>
      <c r="K272" t="s">
        <v>15</v>
      </c>
      <c r="L272">
        <v>4</v>
      </c>
      <c r="M272" t="str">
        <f t="shared" si="9"/>
        <v>Yes</v>
      </c>
      <c r="N272" t="str">
        <f>IF(user_behavior_dataset!$D272&lt;60,"Low",
IF(user_behavior_dataset!$D272&lt;=180,"Medium","High"))</f>
        <v>High</v>
      </c>
      <c r="O272" t="str">
        <f>IF(user_behavior_dataset!$H272&gt;=1341,"Yes","No")</f>
        <v>No</v>
      </c>
      <c r="P272" t="str">
        <f>IF(user_behavior_dataset!$F272&gt;=2229,"Yes","No")</f>
        <v>No</v>
      </c>
    </row>
    <row r="273" spans="1:16" x14ac:dyDescent="0.3">
      <c r="A273">
        <v>272</v>
      </c>
      <c r="B273" t="s">
        <v>14</v>
      </c>
      <c r="C273" t="s">
        <v>12</v>
      </c>
      <c r="D273">
        <v>284</v>
      </c>
      <c r="E273">
        <v>4.2</v>
      </c>
      <c r="F273">
        <v>1360</v>
      </c>
      <c r="G273">
        <v>56</v>
      </c>
      <c r="H273">
        <v>888</v>
      </c>
      <c r="I273">
        <v>51</v>
      </c>
      <c r="J273" t="str">
        <f t="shared" si="8"/>
        <v>40+</v>
      </c>
      <c r="K273" t="s">
        <v>13</v>
      </c>
      <c r="L273">
        <v>3</v>
      </c>
      <c r="M273" t="str">
        <f t="shared" si="9"/>
        <v>Yes</v>
      </c>
      <c r="N273" t="str">
        <f>IF(user_behavior_dataset!$D273&lt;60,"Low",
IF(user_behavior_dataset!$D273&lt;=180,"Medium","High"))</f>
        <v>High</v>
      </c>
      <c r="O273" t="str">
        <f>IF(user_behavior_dataset!$H273&gt;=1341,"Yes","No")</f>
        <v>No</v>
      </c>
      <c r="P273" t="str">
        <f>IF(user_behavior_dataset!$F273&gt;=2229,"Yes","No")</f>
        <v>No</v>
      </c>
    </row>
    <row r="274" spans="1:16" x14ac:dyDescent="0.3">
      <c r="A274">
        <v>273</v>
      </c>
      <c r="B274" t="s">
        <v>11</v>
      </c>
      <c r="C274" t="s">
        <v>12</v>
      </c>
      <c r="D274">
        <v>105</v>
      </c>
      <c r="E274">
        <v>2.2000000000000002</v>
      </c>
      <c r="F274">
        <v>1002</v>
      </c>
      <c r="G274">
        <v>29</v>
      </c>
      <c r="H274">
        <v>453</v>
      </c>
      <c r="I274">
        <v>31</v>
      </c>
      <c r="J274" t="str">
        <f t="shared" si="8"/>
        <v>25–40</v>
      </c>
      <c r="K274" t="s">
        <v>15</v>
      </c>
      <c r="L274">
        <v>2</v>
      </c>
      <c r="M274" t="str">
        <f t="shared" si="9"/>
        <v>Yes</v>
      </c>
      <c r="N274" t="str">
        <f>IF(user_behavior_dataset!$D274&lt;60,"Low",
IF(user_behavior_dataset!$D274&lt;=180,"Medium","High"))</f>
        <v>Medium</v>
      </c>
      <c r="O274" t="str">
        <f>IF(user_behavior_dataset!$H274&gt;=1341,"Yes","No")</f>
        <v>No</v>
      </c>
      <c r="P274" t="str">
        <f>IF(user_behavior_dataset!$F274&gt;=2229,"Yes","No")</f>
        <v>No</v>
      </c>
    </row>
    <row r="275" spans="1:16" x14ac:dyDescent="0.3">
      <c r="A275">
        <v>274</v>
      </c>
      <c r="B275" t="s">
        <v>11</v>
      </c>
      <c r="C275" t="s">
        <v>12</v>
      </c>
      <c r="D275">
        <v>179</v>
      </c>
      <c r="E275">
        <v>2.2999999999999998</v>
      </c>
      <c r="F275">
        <v>1014</v>
      </c>
      <c r="G275">
        <v>32</v>
      </c>
      <c r="H275">
        <v>588</v>
      </c>
      <c r="I275">
        <v>38</v>
      </c>
      <c r="J275" t="str">
        <f t="shared" si="8"/>
        <v>25–40</v>
      </c>
      <c r="K275" t="s">
        <v>13</v>
      </c>
      <c r="L275">
        <v>2</v>
      </c>
      <c r="M275" t="str">
        <f t="shared" si="9"/>
        <v>Yes</v>
      </c>
      <c r="N275" t="str">
        <f>IF(user_behavior_dataset!$D275&lt;60,"Low",
IF(user_behavior_dataset!$D275&lt;=180,"Medium","High"))</f>
        <v>Medium</v>
      </c>
      <c r="O275" t="str">
        <f>IF(user_behavior_dataset!$H275&gt;=1341,"Yes","No")</f>
        <v>No</v>
      </c>
      <c r="P275" t="str">
        <f>IF(user_behavior_dataset!$F275&gt;=2229,"Yes","No")</f>
        <v>No</v>
      </c>
    </row>
    <row r="276" spans="1:16" x14ac:dyDescent="0.3">
      <c r="A276">
        <v>275</v>
      </c>
      <c r="B276" t="s">
        <v>17</v>
      </c>
      <c r="C276" t="s">
        <v>18</v>
      </c>
      <c r="D276">
        <v>122</v>
      </c>
      <c r="E276">
        <v>2.6</v>
      </c>
      <c r="F276">
        <v>639</v>
      </c>
      <c r="G276">
        <v>37</v>
      </c>
      <c r="H276">
        <v>568</v>
      </c>
      <c r="I276">
        <v>35</v>
      </c>
      <c r="J276" t="str">
        <f t="shared" si="8"/>
        <v>25–40</v>
      </c>
      <c r="K276" t="s">
        <v>13</v>
      </c>
      <c r="L276">
        <v>2</v>
      </c>
      <c r="M276" t="str">
        <f t="shared" si="9"/>
        <v>Yes</v>
      </c>
      <c r="N276" t="str">
        <f>IF(user_behavior_dataset!$D276&lt;60,"Low",
IF(user_behavior_dataset!$D276&lt;=180,"Medium","High"))</f>
        <v>Medium</v>
      </c>
      <c r="O276" t="str">
        <f>IF(user_behavior_dataset!$H276&gt;=1341,"Yes","No")</f>
        <v>No</v>
      </c>
      <c r="P276" t="str">
        <f>IF(user_behavior_dataset!$F276&gt;=2229,"Yes","No")</f>
        <v>No</v>
      </c>
    </row>
    <row r="277" spans="1:16" x14ac:dyDescent="0.3">
      <c r="A277">
        <v>276</v>
      </c>
      <c r="B277" t="s">
        <v>14</v>
      </c>
      <c r="C277" t="s">
        <v>12</v>
      </c>
      <c r="D277">
        <v>501</v>
      </c>
      <c r="E277">
        <v>11.9</v>
      </c>
      <c r="F277">
        <v>2702</v>
      </c>
      <c r="G277">
        <v>88</v>
      </c>
      <c r="H277">
        <v>1738</v>
      </c>
      <c r="I277">
        <v>49</v>
      </c>
      <c r="J277" t="str">
        <f t="shared" si="8"/>
        <v>40+</v>
      </c>
      <c r="K277" t="s">
        <v>13</v>
      </c>
      <c r="L277">
        <v>5</v>
      </c>
      <c r="M277" t="str">
        <f t="shared" si="9"/>
        <v>Yes</v>
      </c>
      <c r="N277" t="str">
        <f>IF(user_behavior_dataset!$D277&lt;60,"Low",
IF(user_behavior_dataset!$D277&lt;=180,"Medium","High"))</f>
        <v>High</v>
      </c>
      <c r="O277" t="str">
        <f>IF(user_behavior_dataset!$H277&gt;=1341,"Yes","No")</f>
        <v>Yes</v>
      </c>
      <c r="P277" t="str">
        <f>IF(user_behavior_dataset!$F277&gt;=2229,"Yes","No")</f>
        <v>Yes</v>
      </c>
    </row>
    <row r="278" spans="1:16" x14ac:dyDescent="0.3">
      <c r="A278">
        <v>277</v>
      </c>
      <c r="B278" t="s">
        <v>16</v>
      </c>
      <c r="C278" t="s">
        <v>12</v>
      </c>
      <c r="D278">
        <v>269</v>
      </c>
      <c r="E278">
        <v>5.9</v>
      </c>
      <c r="F278">
        <v>1666</v>
      </c>
      <c r="G278">
        <v>42</v>
      </c>
      <c r="H278">
        <v>629</v>
      </c>
      <c r="I278">
        <v>32</v>
      </c>
      <c r="J278" t="str">
        <f t="shared" si="8"/>
        <v>25–40</v>
      </c>
      <c r="K278" t="s">
        <v>15</v>
      </c>
      <c r="L278">
        <v>3</v>
      </c>
      <c r="M278" t="str">
        <f t="shared" si="9"/>
        <v>Yes</v>
      </c>
      <c r="N278" t="str">
        <f>IF(user_behavior_dataset!$D278&lt;60,"Low",
IF(user_behavior_dataset!$D278&lt;=180,"Medium","High"))</f>
        <v>High</v>
      </c>
      <c r="O278" t="str">
        <f>IF(user_behavior_dataset!$H278&gt;=1341,"Yes","No")</f>
        <v>No</v>
      </c>
      <c r="P278" t="str">
        <f>IF(user_behavior_dataset!$F278&gt;=2229,"Yes","No")</f>
        <v>No</v>
      </c>
    </row>
    <row r="279" spans="1:16" x14ac:dyDescent="0.3">
      <c r="A279">
        <v>278</v>
      </c>
      <c r="B279" t="s">
        <v>11</v>
      </c>
      <c r="C279" t="s">
        <v>12</v>
      </c>
      <c r="D279">
        <v>230</v>
      </c>
      <c r="E279">
        <v>4.4000000000000004</v>
      </c>
      <c r="F279">
        <v>1607</v>
      </c>
      <c r="G279">
        <v>52</v>
      </c>
      <c r="H279">
        <v>878</v>
      </c>
      <c r="I279">
        <v>54</v>
      </c>
      <c r="J279" t="str">
        <f t="shared" si="8"/>
        <v>40+</v>
      </c>
      <c r="K279" t="s">
        <v>13</v>
      </c>
      <c r="L279">
        <v>3</v>
      </c>
      <c r="M279" t="str">
        <f t="shared" si="9"/>
        <v>Yes</v>
      </c>
      <c r="N279" t="str">
        <f>IF(user_behavior_dataset!$D279&lt;60,"Low",
IF(user_behavior_dataset!$D279&lt;=180,"Medium","High"))</f>
        <v>High</v>
      </c>
      <c r="O279" t="str">
        <f>IF(user_behavior_dataset!$H279&gt;=1341,"Yes","No")</f>
        <v>No</v>
      </c>
      <c r="P279" t="str">
        <f>IF(user_behavior_dataset!$F279&gt;=2229,"Yes","No")</f>
        <v>No</v>
      </c>
    </row>
    <row r="280" spans="1:16" x14ac:dyDescent="0.3">
      <c r="A280">
        <v>279</v>
      </c>
      <c r="B280" t="s">
        <v>16</v>
      </c>
      <c r="C280" t="s">
        <v>12</v>
      </c>
      <c r="D280">
        <v>85</v>
      </c>
      <c r="E280">
        <v>1.6</v>
      </c>
      <c r="F280">
        <v>417</v>
      </c>
      <c r="G280">
        <v>12</v>
      </c>
      <c r="H280">
        <v>122</v>
      </c>
      <c r="I280">
        <v>47</v>
      </c>
      <c r="J280" t="str">
        <f t="shared" si="8"/>
        <v>40+</v>
      </c>
      <c r="K280" t="s">
        <v>13</v>
      </c>
      <c r="L280">
        <v>1</v>
      </c>
      <c r="M280" t="str">
        <f t="shared" si="9"/>
        <v>Yes</v>
      </c>
      <c r="N280" t="str">
        <f>IF(user_behavior_dataset!$D280&lt;60,"Low",
IF(user_behavior_dataset!$D280&lt;=180,"Medium","High"))</f>
        <v>Medium</v>
      </c>
      <c r="O280" t="str">
        <f>IF(user_behavior_dataset!$H280&gt;=1341,"Yes","No")</f>
        <v>No</v>
      </c>
      <c r="P280" t="str">
        <f>IF(user_behavior_dataset!$F280&gt;=2229,"Yes","No")</f>
        <v>No</v>
      </c>
    </row>
    <row r="281" spans="1:16" x14ac:dyDescent="0.3">
      <c r="A281">
        <v>280</v>
      </c>
      <c r="B281" t="s">
        <v>19</v>
      </c>
      <c r="C281" t="s">
        <v>12</v>
      </c>
      <c r="D281">
        <v>411</v>
      </c>
      <c r="E281">
        <v>7.8</v>
      </c>
      <c r="F281">
        <v>2029</v>
      </c>
      <c r="G281">
        <v>75</v>
      </c>
      <c r="H281">
        <v>1136</v>
      </c>
      <c r="I281">
        <v>33</v>
      </c>
      <c r="J281" t="str">
        <f t="shared" si="8"/>
        <v>25–40</v>
      </c>
      <c r="K281" t="s">
        <v>15</v>
      </c>
      <c r="L281">
        <v>4</v>
      </c>
      <c r="M281" t="str">
        <f t="shared" si="9"/>
        <v>Yes</v>
      </c>
      <c r="N281" t="str">
        <f>IF(user_behavior_dataset!$D281&lt;60,"Low",
IF(user_behavior_dataset!$D281&lt;=180,"Medium","High"))</f>
        <v>High</v>
      </c>
      <c r="O281" t="str">
        <f>IF(user_behavior_dataset!$H281&gt;=1341,"Yes","No")</f>
        <v>No</v>
      </c>
      <c r="P281" t="str">
        <f>IF(user_behavior_dataset!$F281&gt;=2229,"Yes","No")</f>
        <v>No</v>
      </c>
    </row>
    <row r="282" spans="1:16" x14ac:dyDescent="0.3">
      <c r="A282">
        <v>281</v>
      </c>
      <c r="B282" t="s">
        <v>19</v>
      </c>
      <c r="C282" t="s">
        <v>12</v>
      </c>
      <c r="D282">
        <v>73</v>
      </c>
      <c r="E282">
        <v>1.7</v>
      </c>
      <c r="F282">
        <v>403</v>
      </c>
      <c r="G282">
        <v>12</v>
      </c>
      <c r="H282">
        <v>163</v>
      </c>
      <c r="I282">
        <v>51</v>
      </c>
      <c r="J282" t="str">
        <f t="shared" si="8"/>
        <v>40+</v>
      </c>
      <c r="K282" t="s">
        <v>13</v>
      </c>
      <c r="L282">
        <v>1</v>
      </c>
      <c r="M282" t="str">
        <f t="shared" si="9"/>
        <v>Yes</v>
      </c>
      <c r="N282" t="str">
        <f>IF(user_behavior_dataset!$D282&lt;60,"Low",
IF(user_behavior_dataset!$D282&lt;=180,"Medium","High"))</f>
        <v>Medium</v>
      </c>
      <c r="O282" t="str">
        <f>IF(user_behavior_dataset!$H282&gt;=1341,"Yes","No")</f>
        <v>No</v>
      </c>
      <c r="P282" t="str">
        <f>IF(user_behavior_dataset!$F282&gt;=2229,"Yes","No")</f>
        <v>No</v>
      </c>
    </row>
    <row r="283" spans="1:16" x14ac:dyDescent="0.3">
      <c r="A283">
        <v>282</v>
      </c>
      <c r="B283" t="s">
        <v>16</v>
      </c>
      <c r="C283" t="s">
        <v>12</v>
      </c>
      <c r="D283">
        <v>39</v>
      </c>
      <c r="E283">
        <v>1.7</v>
      </c>
      <c r="F283">
        <v>530</v>
      </c>
      <c r="G283">
        <v>11</v>
      </c>
      <c r="H283">
        <v>268</v>
      </c>
      <c r="I283">
        <v>26</v>
      </c>
      <c r="J283" t="str">
        <f t="shared" si="8"/>
        <v>25–40</v>
      </c>
      <c r="K283" t="s">
        <v>15</v>
      </c>
      <c r="L283">
        <v>1</v>
      </c>
      <c r="M283" t="str">
        <f t="shared" si="9"/>
        <v>No</v>
      </c>
      <c r="N283" t="str">
        <f>IF(user_behavior_dataset!$D283&lt;60,"Low",
IF(user_behavior_dataset!$D283&lt;=180,"Medium","High"))</f>
        <v>Low</v>
      </c>
      <c r="O283" t="str">
        <f>IF(user_behavior_dataset!$H283&gt;=1341,"Yes","No")</f>
        <v>No</v>
      </c>
      <c r="P283" t="str">
        <f>IF(user_behavior_dataset!$F283&gt;=2229,"Yes","No")</f>
        <v>No</v>
      </c>
    </row>
    <row r="284" spans="1:16" x14ac:dyDescent="0.3">
      <c r="A284">
        <v>283</v>
      </c>
      <c r="B284" t="s">
        <v>17</v>
      </c>
      <c r="C284" t="s">
        <v>18</v>
      </c>
      <c r="D284">
        <v>386</v>
      </c>
      <c r="E284">
        <v>7.7</v>
      </c>
      <c r="F284">
        <v>2114</v>
      </c>
      <c r="G284">
        <v>72</v>
      </c>
      <c r="H284">
        <v>1209</v>
      </c>
      <c r="I284">
        <v>51</v>
      </c>
      <c r="J284" t="str">
        <f t="shared" si="8"/>
        <v>40+</v>
      </c>
      <c r="K284" t="s">
        <v>13</v>
      </c>
      <c r="L284">
        <v>4</v>
      </c>
      <c r="M284" t="str">
        <f t="shared" si="9"/>
        <v>Yes</v>
      </c>
      <c r="N284" t="str">
        <f>IF(user_behavior_dataset!$D284&lt;60,"Low",
IF(user_behavior_dataset!$D284&lt;=180,"Medium","High"))</f>
        <v>High</v>
      </c>
      <c r="O284" t="str">
        <f>IF(user_behavior_dataset!$H284&gt;=1341,"Yes","No")</f>
        <v>No</v>
      </c>
      <c r="P284" t="str">
        <f>IF(user_behavior_dataset!$F284&gt;=2229,"Yes","No")</f>
        <v>No</v>
      </c>
    </row>
    <row r="285" spans="1:16" x14ac:dyDescent="0.3">
      <c r="A285">
        <v>284</v>
      </c>
      <c r="B285" t="s">
        <v>11</v>
      </c>
      <c r="C285" t="s">
        <v>12</v>
      </c>
      <c r="D285">
        <v>49</v>
      </c>
      <c r="E285">
        <v>1.3</v>
      </c>
      <c r="F285">
        <v>542</v>
      </c>
      <c r="G285">
        <v>16</v>
      </c>
      <c r="H285">
        <v>169</v>
      </c>
      <c r="I285">
        <v>54</v>
      </c>
      <c r="J285" t="str">
        <f t="shared" si="8"/>
        <v>40+</v>
      </c>
      <c r="K285" t="s">
        <v>15</v>
      </c>
      <c r="L285">
        <v>1</v>
      </c>
      <c r="M285" t="str">
        <f t="shared" si="9"/>
        <v>No</v>
      </c>
      <c r="N285" t="str">
        <f>IF(user_behavior_dataset!$D285&lt;60,"Low",
IF(user_behavior_dataset!$D285&lt;=180,"Medium","High"))</f>
        <v>Low</v>
      </c>
      <c r="O285" t="str">
        <f>IF(user_behavior_dataset!$H285&gt;=1341,"Yes","No")</f>
        <v>No</v>
      </c>
      <c r="P285" t="str">
        <f>IF(user_behavior_dataset!$F285&gt;=2229,"Yes","No")</f>
        <v>No</v>
      </c>
    </row>
    <row r="286" spans="1:16" x14ac:dyDescent="0.3">
      <c r="A286">
        <v>285</v>
      </c>
      <c r="B286" t="s">
        <v>11</v>
      </c>
      <c r="C286" t="s">
        <v>12</v>
      </c>
      <c r="D286">
        <v>411</v>
      </c>
      <c r="E286">
        <v>6.9</v>
      </c>
      <c r="F286">
        <v>1820</v>
      </c>
      <c r="G286">
        <v>70</v>
      </c>
      <c r="H286">
        <v>1024</v>
      </c>
      <c r="I286">
        <v>43</v>
      </c>
      <c r="J286" t="str">
        <f t="shared" si="8"/>
        <v>40+</v>
      </c>
      <c r="K286" t="s">
        <v>13</v>
      </c>
      <c r="L286">
        <v>4</v>
      </c>
      <c r="M286" t="str">
        <f t="shared" si="9"/>
        <v>Yes</v>
      </c>
      <c r="N286" t="str">
        <f>IF(user_behavior_dataset!$D286&lt;60,"Low",
IF(user_behavior_dataset!$D286&lt;=180,"Medium","High"))</f>
        <v>High</v>
      </c>
      <c r="O286" t="str">
        <f>IF(user_behavior_dataset!$H286&gt;=1341,"Yes","No")</f>
        <v>No</v>
      </c>
      <c r="P286" t="str">
        <f>IF(user_behavior_dataset!$F286&gt;=2229,"Yes","No")</f>
        <v>No</v>
      </c>
    </row>
    <row r="287" spans="1:16" x14ac:dyDescent="0.3">
      <c r="A287">
        <v>286</v>
      </c>
      <c r="B287" t="s">
        <v>14</v>
      </c>
      <c r="C287" t="s">
        <v>12</v>
      </c>
      <c r="D287">
        <v>534</v>
      </c>
      <c r="E287">
        <v>10.8</v>
      </c>
      <c r="F287">
        <v>2805</v>
      </c>
      <c r="G287">
        <v>90</v>
      </c>
      <c r="H287">
        <v>1538</v>
      </c>
      <c r="I287">
        <v>37</v>
      </c>
      <c r="J287" t="str">
        <f t="shared" si="8"/>
        <v>25–40</v>
      </c>
      <c r="K287" t="s">
        <v>13</v>
      </c>
      <c r="L287">
        <v>5</v>
      </c>
      <c r="M287" t="str">
        <f t="shared" si="9"/>
        <v>Yes</v>
      </c>
      <c r="N287" t="str">
        <f>IF(user_behavior_dataset!$D287&lt;60,"Low",
IF(user_behavior_dataset!$D287&lt;=180,"Medium","High"))</f>
        <v>High</v>
      </c>
      <c r="O287" t="str">
        <f>IF(user_behavior_dataset!$H287&gt;=1341,"Yes","No")</f>
        <v>Yes</v>
      </c>
      <c r="P287" t="str">
        <f>IF(user_behavior_dataset!$F287&gt;=2229,"Yes","No")</f>
        <v>Yes</v>
      </c>
    </row>
    <row r="288" spans="1:16" x14ac:dyDescent="0.3">
      <c r="A288">
        <v>287</v>
      </c>
      <c r="B288" t="s">
        <v>19</v>
      </c>
      <c r="C288" t="s">
        <v>12</v>
      </c>
      <c r="D288">
        <v>314</v>
      </c>
      <c r="E288">
        <v>7.4</v>
      </c>
      <c r="F288">
        <v>2136</v>
      </c>
      <c r="G288">
        <v>64</v>
      </c>
      <c r="H288">
        <v>1376</v>
      </c>
      <c r="I288">
        <v>47</v>
      </c>
      <c r="J288" t="str">
        <f t="shared" si="8"/>
        <v>40+</v>
      </c>
      <c r="K288" t="s">
        <v>15</v>
      </c>
      <c r="L288">
        <v>4</v>
      </c>
      <c r="M288" t="str">
        <f t="shared" si="9"/>
        <v>Yes</v>
      </c>
      <c r="N288" t="str">
        <f>IF(user_behavior_dataset!$D288&lt;60,"Low",
IF(user_behavior_dataset!$D288&lt;=180,"Medium","High"))</f>
        <v>High</v>
      </c>
      <c r="O288" t="str">
        <f>IF(user_behavior_dataset!$H288&gt;=1341,"Yes","No")</f>
        <v>Yes</v>
      </c>
      <c r="P288" t="str">
        <f>IF(user_behavior_dataset!$F288&gt;=2229,"Yes","No")</f>
        <v>No</v>
      </c>
    </row>
    <row r="289" spans="1:16" x14ac:dyDescent="0.3">
      <c r="A289">
        <v>288</v>
      </c>
      <c r="B289" t="s">
        <v>16</v>
      </c>
      <c r="C289" t="s">
        <v>12</v>
      </c>
      <c r="D289">
        <v>211</v>
      </c>
      <c r="E289">
        <v>4</v>
      </c>
      <c r="F289">
        <v>1519</v>
      </c>
      <c r="G289">
        <v>54</v>
      </c>
      <c r="H289">
        <v>811</v>
      </c>
      <c r="I289">
        <v>29</v>
      </c>
      <c r="J289" t="str">
        <f t="shared" si="8"/>
        <v>25–40</v>
      </c>
      <c r="K289" t="s">
        <v>15</v>
      </c>
      <c r="L289">
        <v>3</v>
      </c>
      <c r="M289" t="str">
        <f t="shared" si="9"/>
        <v>Yes</v>
      </c>
      <c r="N289" t="str">
        <f>IF(user_behavior_dataset!$D289&lt;60,"Low",
IF(user_behavior_dataset!$D289&lt;=180,"Medium","High"))</f>
        <v>High</v>
      </c>
      <c r="O289" t="str">
        <f>IF(user_behavior_dataset!$H289&gt;=1341,"Yes","No")</f>
        <v>No</v>
      </c>
      <c r="P289" t="str">
        <f>IF(user_behavior_dataset!$F289&gt;=2229,"Yes","No")</f>
        <v>No</v>
      </c>
    </row>
    <row r="290" spans="1:16" x14ac:dyDescent="0.3">
      <c r="A290">
        <v>289</v>
      </c>
      <c r="B290" t="s">
        <v>14</v>
      </c>
      <c r="C290" t="s">
        <v>12</v>
      </c>
      <c r="D290">
        <v>121</v>
      </c>
      <c r="E290">
        <v>3.7</v>
      </c>
      <c r="F290">
        <v>619</v>
      </c>
      <c r="G290">
        <v>36</v>
      </c>
      <c r="H290">
        <v>473</v>
      </c>
      <c r="I290">
        <v>47</v>
      </c>
      <c r="J290" t="str">
        <f t="shared" si="8"/>
        <v>40+</v>
      </c>
      <c r="K290" t="s">
        <v>13</v>
      </c>
      <c r="L290">
        <v>2</v>
      </c>
      <c r="M290" t="str">
        <f t="shared" si="9"/>
        <v>Yes</v>
      </c>
      <c r="N290" t="str">
        <f>IF(user_behavior_dataset!$D290&lt;60,"Low",
IF(user_behavior_dataset!$D290&lt;=180,"Medium","High"))</f>
        <v>Medium</v>
      </c>
      <c r="O290" t="str">
        <f>IF(user_behavior_dataset!$H290&gt;=1341,"Yes","No")</f>
        <v>No</v>
      </c>
      <c r="P290" t="str">
        <f>IF(user_behavior_dataset!$F290&gt;=2229,"Yes","No")</f>
        <v>No</v>
      </c>
    </row>
    <row r="291" spans="1:16" x14ac:dyDescent="0.3">
      <c r="A291">
        <v>290</v>
      </c>
      <c r="B291" t="s">
        <v>11</v>
      </c>
      <c r="C291" t="s">
        <v>12</v>
      </c>
      <c r="D291">
        <v>84</v>
      </c>
      <c r="E291">
        <v>1.2</v>
      </c>
      <c r="F291">
        <v>415</v>
      </c>
      <c r="G291">
        <v>10</v>
      </c>
      <c r="H291">
        <v>146</v>
      </c>
      <c r="I291">
        <v>50</v>
      </c>
      <c r="J291" t="str">
        <f t="shared" si="8"/>
        <v>40+</v>
      </c>
      <c r="K291" t="s">
        <v>13</v>
      </c>
      <c r="L291">
        <v>1</v>
      </c>
      <c r="M291" t="str">
        <f t="shared" si="9"/>
        <v>Yes</v>
      </c>
      <c r="N291" t="str">
        <f>IF(user_behavior_dataset!$D291&lt;60,"Low",
IF(user_behavior_dataset!$D291&lt;=180,"Medium","High"))</f>
        <v>Medium</v>
      </c>
      <c r="O291" t="str">
        <f>IF(user_behavior_dataset!$H291&gt;=1341,"Yes","No")</f>
        <v>No</v>
      </c>
      <c r="P291" t="str">
        <f>IF(user_behavior_dataset!$F291&gt;=2229,"Yes","No")</f>
        <v>No</v>
      </c>
    </row>
    <row r="292" spans="1:16" x14ac:dyDescent="0.3">
      <c r="A292">
        <v>291</v>
      </c>
      <c r="B292" t="s">
        <v>14</v>
      </c>
      <c r="C292" t="s">
        <v>12</v>
      </c>
      <c r="D292">
        <v>448</v>
      </c>
      <c r="E292">
        <v>7.6</v>
      </c>
      <c r="F292">
        <v>2199</v>
      </c>
      <c r="G292">
        <v>66</v>
      </c>
      <c r="H292">
        <v>1047</v>
      </c>
      <c r="I292">
        <v>28</v>
      </c>
      <c r="J292" t="str">
        <f t="shared" si="8"/>
        <v>25–40</v>
      </c>
      <c r="K292" t="s">
        <v>13</v>
      </c>
      <c r="L292">
        <v>4</v>
      </c>
      <c r="M292" t="str">
        <f t="shared" si="9"/>
        <v>Yes</v>
      </c>
      <c r="N292" t="str">
        <f>IF(user_behavior_dataset!$D292&lt;60,"Low",
IF(user_behavior_dataset!$D292&lt;=180,"Medium","High"))</f>
        <v>High</v>
      </c>
      <c r="O292" t="str">
        <f>IF(user_behavior_dataset!$H292&gt;=1341,"Yes","No")</f>
        <v>No</v>
      </c>
      <c r="P292" t="str">
        <f>IF(user_behavior_dataset!$F292&gt;=2229,"Yes","No")</f>
        <v>No</v>
      </c>
    </row>
    <row r="293" spans="1:16" x14ac:dyDescent="0.3">
      <c r="A293">
        <v>292</v>
      </c>
      <c r="B293" t="s">
        <v>11</v>
      </c>
      <c r="C293" t="s">
        <v>12</v>
      </c>
      <c r="D293">
        <v>55</v>
      </c>
      <c r="E293">
        <v>1.6</v>
      </c>
      <c r="F293">
        <v>360</v>
      </c>
      <c r="G293">
        <v>19</v>
      </c>
      <c r="H293">
        <v>149</v>
      </c>
      <c r="I293">
        <v>30</v>
      </c>
      <c r="J293" t="str">
        <f t="shared" si="8"/>
        <v>25–40</v>
      </c>
      <c r="K293" t="s">
        <v>13</v>
      </c>
      <c r="L293">
        <v>1</v>
      </c>
      <c r="M293" t="str">
        <f t="shared" si="9"/>
        <v>No</v>
      </c>
      <c r="N293" t="str">
        <f>IF(user_behavior_dataset!$D293&lt;60,"Low",
IF(user_behavior_dataset!$D293&lt;=180,"Medium","High"))</f>
        <v>Low</v>
      </c>
      <c r="O293" t="str">
        <f>IF(user_behavior_dataset!$H293&gt;=1341,"Yes","No")</f>
        <v>No</v>
      </c>
      <c r="P293" t="str">
        <f>IF(user_behavior_dataset!$F293&gt;=2229,"Yes","No")</f>
        <v>No</v>
      </c>
    </row>
    <row r="294" spans="1:16" x14ac:dyDescent="0.3">
      <c r="A294">
        <v>293</v>
      </c>
      <c r="B294" t="s">
        <v>11</v>
      </c>
      <c r="C294" t="s">
        <v>12</v>
      </c>
      <c r="D294">
        <v>59</v>
      </c>
      <c r="E294">
        <v>1.8</v>
      </c>
      <c r="F294">
        <v>497</v>
      </c>
      <c r="G294">
        <v>10</v>
      </c>
      <c r="H294">
        <v>208</v>
      </c>
      <c r="I294">
        <v>36</v>
      </c>
      <c r="J294" t="str">
        <f t="shared" si="8"/>
        <v>25–40</v>
      </c>
      <c r="K294" t="s">
        <v>15</v>
      </c>
      <c r="L294">
        <v>1</v>
      </c>
      <c r="M294" t="str">
        <f t="shared" si="9"/>
        <v>No</v>
      </c>
      <c r="N294" t="str">
        <f>IF(user_behavior_dataset!$D294&lt;60,"Low",
IF(user_behavior_dataset!$D294&lt;=180,"Medium","High"))</f>
        <v>Low</v>
      </c>
      <c r="O294" t="str">
        <f>IF(user_behavior_dataset!$H294&gt;=1341,"Yes","No")</f>
        <v>No</v>
      </c>
      <c r="P294" t="str">
        <f>IF(user_behavior_dataset!$F294&gt;=2229,"Yes","No")</f>
        <v>No</v>
      </c>
    </row>
    <row r="295" spans="1:16" x14ac:dyDescent="0.3">
      <c r="A295">
        <v>294</v>
      </c>
      <c r="B295" t="s">
        <v>16</v>
      </c>
      <c r="C295" t="s">
        <v>12</v>
      </c>
      <c r="D295">
        <v>226</v>
      </c>
      <c r="E295">
        <v>4.5</v>
      </c>
      <c r="F295">
        <v>1781</v>
      </c>
      <c r="G295">
        <v>45</v>
      </c>
      <c r="H295">
        <v>649</v>
      </c>
      <c r="I295">
        <v>27</v>
      </c>
      <c r="J295" t="str">
        <f t="shared" si="8"/>
        <v>25–40</v>
      </c>
      <c r="K295" t="s">
        <v>15</v>
      </c>
      <c r="L295">
        <v>3</v>
      </c>
      <c r="M295" t="str">
        <f t="shared" si="9"/>
        <v>Yes</v>
      </c>
      <c r="N295" t="str">
        <f>IF(user_behavior_dataset!$D295&lt;60,"Low",
IF(user_behavior_dataset!$D295&lt;=180,"Medium","High"))</f>
        <v>High</v>
      </c>
      <c r="O295" t="str">
        <f>IF(user_behavior_dataset!$H295&gt;=1341,"Yes","No")</f>
        <v>No</v>
      </c>
      <c r="P295" t="str">
        <f>IF(user_behavior_dataset!$F295&gt;=2229,"Yes","No")</f>
        <v>No</v>
      </c>
    </row>
    <row r="296" spans="1:16" x14ac:dyDescent="0.3">
      <c r="A296">
        <v>295</v>
      </c>
      <c r="B296" t="s">
        <v>19</v>
      </c>
      <c r="C296" t="s">
        <v>12</v>
      </c>
      <c r="D296">
        <v>580</v>
      </c>
      <c r="E296">
        <v>8.5</v>
      </c>
      <c r="F296">
        <v>2660</v>
      </c>
      <c r="G296">
        <v>87</v>
      </c>
      <c r="H296">
        <v>1795</v>
      </c>
      <c r="I296">
        <v>52</v>
      </c>
      <c r="J296" t="str">
        <f t="shared" si="8"/>
        <v>40+</v>
      </c>
      <c r="K296" t="s">
        <v>13</v>
      </c>
      <c r="L296">
        <v>5</v>
      </c>
      <c r="M296" t="str">
        <f t="shared" si="9"/>
        <v>Yes</v>
      </c>
      <c r="N296" t="str">
        <f>IF(user_behavior_dataset!$D296&lt;60,"Low",
IF(user_behavior_dataset!$D296&lt;=180,"Medium","High"))</f>
        <v>High</v>
      </c>
      <c r="O296" t="str">
        <f>IF(user_behavior_dataset!$H296&gt;=1341,"Yes","No")</f>
        <v>Yes</v>
      </c>
      <c r="P296" t="str">
        <f>IF(user_behavior_dataset!$F296&gt;=2229,"Yes","No")</f>
        <v>Yes</v>
      </c>
    </row>
    <row r="297" spans="1:16" x14ac:dyDescent="0.3">
      <c r="A297">
        <v>296</v>
      </c>
      <c r="B297" t="s">
        <v>14</v>
      </c>
      <c r="C297" t="s">
        <v>12</v>
      </c>
      <c r="D297">
        <v>65</v>
      </c>
      <c r="E297">
        <v>1.8</v>
      </c>
      <c r="F297">
        <v>481</v>
      </c>
      <c r="G297">
        <v>18</v>
      </c>
      <c r="H297">
        <v>130</v>
      </c>
      <c r="I297">
        <v>41</v>
      </c>
      <c r="J297" t="str">
        <f t="shared" si="8"/>
        <v>40+</v>
      </c>
      <c r="K297" t="s">
        <v>13</v>
      </c>
      <c r="L297">
        <v>1</v>
      </c>
      <c r="M297" t="str">
        <f t="shared" si="9"/>
        <v>Yes</v>
      </c>
      <c r="N297" t="str">
        <f>IF(user_behavior_dataset!$D297&lt;60,"Low",
IF(user_behavior_dataset!$D297&lt;=180,"Medium","High"))</f>
        <v>Medium</v>
      </c>
      <c r="O297" t="str">
        <f>IF(user_behavior_dataset!$H297&gt;=1341,"Yes","No")</f>
        <v>No</v>
      </c>
      <c r="P297" t="str">
        <f>IF(user_behavior_dataset!$F297&gt;=2229,"Yes","No")</f>
        <v>No</v>
      </c>
    </row>
    <row r="298" spans="1:16" x14ac:dyDescent="0.3">
      <c r="A298">
        <v>297</v>
      </c>
      <c r="B298" t="s">
        <v>14</v>
      </c>
      <c r="C298" t="s">
        <v>12</v>
      </c>
      <c r="D298">
        <v>458</v>
      </c>
      <c r="E298">
        <v>6.6</v>
      </c>
      <c r="F298">
        <v>2214</v>
      </c>
      <c r="G298">
        <v>67</v>
      </c>
      <c r="H298">
        <v>1163</v>
      </c>
      <c r="I298">
        <v>31</v>
      </c>
      <c r="J298" t="str">
        <f t="shared" si="8"/>
        <v>25–40</v>
      </c>
      <c r="K298" t="s">
        <v>15</v>
      </c>
      <c r="L298">
        <v>4</v>
      </c>
      <c r="M298" t="str">
        <f t="shared" si="9"/>
        <v>Yes</v>
      </c>
      <c r="N298" t="str">
        <f>IF(user_behavior_dataset!$D298&lt;60,"Low",
IF(user_behavior_dataset!$D298&lt;=180,"Medium","High"))</f>
        <v>High</v>
      </c>
      <c r="O298" t="str">
        <f>IF(user_behavior_dataset!$H298&gt;=1341,"Yes","No")</f>
        <v>No</v>
      </c>
      <c r="P298" t="str">
        <f>IF(user_behavior_dataset!$F298&gt;=2229,"Yes","No")</f>
        <v>No</v>
      </c>
    </row>
    <row r="299" spans="1:16" x14ac:dyDescent="0.3">
      <c r="A299">
        <v>298</v>
      </c>
      <c r="B299" t="s">
        <v>17</v>
      </c>
      <c r="C299" t="s">
        <v>18</v>
      </c>
      <c r="D299">
        <v>170</v>
      </c>
      <c r="E299">
        <v>2.7</v>
      </c>
      <c r="F299">
        <v>805</v>
      </c>
      <c r="G299">
        <v>26</v>
      </c>
      <c r="H299">
        <v>344</v>
      </c>
      <c r="I299">
        <v>53</v>
      </c>
      <c r="J299" t="str">
        <f t="shared" si="8"/>
        <v>40+</v>
      </c>
      <c r="K299" t="s">
        <v>15</v>
      </c>
      <c r="L299">
        <v>2</v>
      </c>
      <c r="M299" t="str">
        <f t="shared" si="9"/>
        <v>Yes</v>
      </c>
      <c r="N299" t="str">
        <f>IF(user_behavior_dataset!$D299&lt;60,"Low",
IF(user_behavior_dataset!$D299&lt;=180,"Medium","High"))</f>
        <v>Medium</v>
      </c>
      <c r="O299" t="str">
        <f>IF(user_behavior_dataset!$H299&gt;=1341,"Yes","No")</f>
        <v>No</v>
      </c>
      <c r="P299" t="str">
        <f>IF(user_behavior_dataset!$F299&gt;=2229,"Yes","No")</f>
        <v>No</v>
      </c>
    </row>
    <row r="300" spans="1:16" x14ac:dyDescent="0.3">
      <c r="A300">
        <v>299</v>
      </c>
      <c r="B300" t="s">
        <v>17</v>
      </c>
      <c r="C300" t="s">
        <v>18</v>
      </c>
      <c r="D300">
        <v>264</v>
      </c>
      <c r="E300">
        <v>5.2</v>
      </c>
      <c r="F300">
        <v>1641</v>
      </c>
      <c r="G300">
        <v>44</v>
      </c>
      <c r="H300">
        <v>778</v>
      </c>
      <c r="I300">
        <v>44</v>
      </c>
      <c r="J300" t="str">
        <f t="shared" si="8"/>
        <v>40+</v>
      </c>
      <c r="K300" t="s">
        <v>13</v>
      </c>
      <c r="L300">
        <v>3</v>
      </c>
      <c r="M300" t="str">
        <f t="shared" si="9"/>
        <v>Yes</v>
      </c>
      <c r="N300" t="str">
        <f>IF(user_behavior_dataset!$D300&lt;60,"Low",
IF(user_behavior_dataset!$D300&lt;=180,"Medium","High"))</f>
        <v>High</v>
      </c>
      <c r="O300" t="str">
        <f>IF(user_behavior_dataset!$H300&gt;=1341,"Yes","No")</f>
        <v>No</v>
      </c>
      <c r="P300" t="str">
        <f>IF(user_behavior_dataset!$F300&gt;=2229,"Yes","No")</f>
        <v>No</v>
      </c>
    </row>
    <row r="301" spans="1:16" x14ac:dyDescent="0.3">
      <c r="A301">
        <v>300</v>
      </c>
      <c r="B301" t="s">
        <v>16</v>
      </c>
      <c r="C301" t="s">
        <v>12</v>
      </c>
      <c r="D301">
        <v>122</v>
      </c>
      <c r="E301">
        <v>3.3</v>
      </c>
      <c r="F301">
        <v>748</v>
      </c>
      <c r="G301">
        <v>35</v>
      </c>
      <c r="H301">
        <v>499</v>
      </c>
      <c r="I301">
        <v>59</v>
      </c>
      <c r="J301" t="str">
        <f t="shared" si="8"/>
        <v>40+</v>
      </c>
      <c r="K301" t="s">
        <v>15</v>
      </c>
      <c r="L301">
        <v>2</v>
      </c>
      <c r="M301" t="str">
        <f t="shared" si="9"/>
        <v>Yes</v>
      </c>
      <c r="N301" t="str">
        <f>IF(user_behavior_dataset!$D301&lt;60,"Low",
IF(user_behavior_dataset!$D301&lt;=180,"Medium","High"))</f>
        <v>Medium</v>
      </c>
      <c r="O301" t="str">
        <f>IF(user_behavior_dataset!$H301&gt;=1341,"Yes","No")</f>
        <v>No</v>
      </c>
      <c r="P301" t="str">
        <f>IF(user_behavior_dataset!$F301&gt;=2229,"Yes","No")</f>
        <v>No</v>
      </c>
    </row>
    <row r="302" spans="1:16" x14ac:dyDescent="0.3">
      <c r="A302">
        <v>301</v>
      </c>
      <c r="B302" t="s">
        <v>16</v>
      </c>
      <c r="C302" t="s">
        <v>12</v>
      </c>
      <c r="D302">
        <v>420</v>
      </c>
      <c r="E302">
        <v>6.5</v>
      </c>
      <c r="F302">
        <v>2113</v>
      </c>
      <c r="G302">
        <v>65</v>
      </c>
      <c r="H302">
        <v>1314</v>
      </c>
      <c r="I302">
        <v>35</v>
      </c>
      <c r="J302" t="str">
        <f t="shared" si="8"/>
        <v>25–40</v>
      </c>
      <c r="K302" t="s">
        <v>13</v>
      </c>
      <c r="L302">
        <v>4</v>
      </c>
      <c r="M302" t="str">
        <f t="shared" si="9"/>
        <v>Yes</v>
      </c>
      <c r="N302" t="str">
        <f>IF(user_behavior_dataset!$D302&lt;60,"Low",
IF(user_behavior_dataset!$D302&lt;=180,"Medium","High"))</f>
        <v>High</v>
      </c>
      <c r="O302" t="str">
        <f>IF(user_behavior_dataset!$H302&gt;=1341,"Yes","No")</f>
        <v>No</v>
      </c>
      <c r="P302" t="str">
        <f>IF(user_behavior_dataset!$F302&gt;=2229,"Yes","No")</f>
        <v>No</v>
      </c>
    </row>
    <row r="303" spans="1:16" x14ac:dyDescent="0.3">
      <c r="A303">
        <v>302</v>
      </c>
      <c r="B303" t="s">
        <v>17</v>
      </c>
      <c r="C303" t="s">
        <v>18</v>
      </c>
      <c r="D303">
        <v>267</v>
      </c>
      <c r="E303">
        <v>4.4000000000000004</v>
      </c>
      <c r="F303">
        <v>1505</v>
      </c>
      <c r="G303">
        <v>59</v>
      </c>
      <c r="H303">
        <v>971</v>
      </c>
      <c r="I303">
        <v>38</v>
      </c>
      <c r="J303" t="str">
        <f t="shared" si="8"/>
        <v>25–40</v>
      </c>
      <c r="K303" t="s">
        <v>15</v>
      </c>
      <c r="L303">
        <v>3</v>
      </c>
      <c r="M303" t="str">
        <f t="shared" si="9"/>
        <v>Yes</v>
      </c>
      <c r="N303" t="str">
        <f>IF(user_behavior_dataset!$D303&lt;60,"Low",
IF(user_behavior_dataset!$D303&lt;=180,"Medium","High"))</f>
        <v>High</v>
      </c>
      <c r="O303" t="str">
        <f>IF(user_behavior_dataset!$H303&gt;=1341,"Yes","No")</f>
        <v>No</v>
      </c>
      <c r="P303" t="str">
        <f>IF(user_behavior_dataset!$F303&gt;=2229,"Yes","No")</f>
        <v>No</v>
      </c>
    </row>
    <row r="304" spans="1:16" x14ac:dyDescent="0.3">
      <c r="A304">
        <v>303</v>
      </c>
      <c r="B304" t="s">
        <v>17</v>
      </c>
      <c r="C304" t="s">
        <v>18</v>
      </c>
      <c r="D304">
        <v>469</v>
      </c>
      <c r="E304">
        <v>6</v>
      </c>
      <c r="F304">
        <v>2290</v>
      </c>
      <c r="G304">
        <v>67</v>
      </c>
      <c r="H304">
        <v>1086</v>
      </c>
      <c r="I304">
        <v>34</v>
      </c>
      <c r="J304" t="str">
        <f t="shared" si="8"/>
        <v>25–40</v>
      </c>
      <c r="K304" t="s">
        <v>15</v>
      </c>
      <c r="L304">
        <v>4</v>
      </c>
      <c r="M304" t="str">
        <f t="shared" si="9"/>
        <v>Yes</v>
      </c>
      <c r="N304" t="str">
        <f>IF(user_behavior_dataset!$D304&lt;60,"Low",
IF(user_behavior_dataset!$D304&lt;=180,"Medium","High"))</f>
        <v>High</v>
      </c>
      <c r="O304" t="str">
        <f>IF(user_behavior_dataset!$H304&gt;=1341,"Yes","No")</f>
        <v>No</v>
      </c>
      <c r="P304" t="str">
        <f>IF(user_behavior_dataset!$F304&gt;=2229,"Yes","No")</f>
        <v>Yes</v>
      </c>
    </row>
    <row r="305" spans="1:16" x14ac:dyDescent="0.3">
      <c r="A305">
        <v>304</v>
      </c>
      <c r="B305" t="s">
        <v>17</v>
      </c>
      <c r="C305" t="s">
        <v>18</v>
      </c>
      <c r="D305">
        <v>541</v>
      </c>
      <c r="E305">
        <v>11.4</v>
      </c>
      <c r="F305">
        <v>2443</v>
      </c>
      <c r="G305">
        <v>89</v>
      </c>
      <c r="H305">
        <v>1923</v>
      </c>
      <c r="I305">
        <v>34</v>
      </c>
      <c r="J305" t="str">
        <f t="shared" si="8"/>
        <v>25–40</v>
      </c>
      <c r="K305" t="s">
        <v>15</v>
      </c>
      <c r="L305">
        <v>5</v>
      </c>
      <c r="M305" t="str">
        <f t="shared" si="9"/>
        <v>Yes</v>
      </c>
      <c r="N305" t="str">
        <f>IF(user_behavior_dataset!$D305&lt;60,"Low",
IF(user_behavior_dataset!$D305&lt;=180,"Medium","High"))</f>
        <v>High</v>
      </c>
      <c r="O305" t="str">
        <f>IF(user_behavior_dataset!$H305&gt;=1341,"Yes","No")</f>
        <v>Yes</v>
      </c>
      <c r="P305" t="str">
        <f>IF(user_behavior_dataset!$F305&gt;=2229,"Yes","No")</f>
        <v>Yes</v>
      </c>
    </row>
    <row r="306" spans="1:16" x14ac:dyDescent="0.3">
      <c r="A306">
        <v>305</v>
      </c>
      <c r="B306" t="s">
        <v>17</v>
      </c>
      <c r="C306" t="s">
        <v>18</v>
      </c>
      <c r="D306">
        <v>155</v>
      </c>
      <c r="E306">
        <v>2.9</v>
      </c>
      <c r="F306">
        <v>1117</v>
      </c>
      <c r="G306">
        <v>22</v>
      </c>
      <c r="H306">
        <v>322</v>
      </c>
      <c r="I306">
        <v>19</v>
      </c>
      <c r="J306" t="str">
        <f t="shared" si="8"/>
        <v>&lt;25</v>
      </c>
      <c r="K306" t="s">
        <v>15</v>
      </c>
      <c r="L306">
        <v>2</v>
      </c>
      <c r="M306" t="str">
        <f t="shared" si="9"/>
        <v>Yes</v>
      </c>
      <c r="N306" t="str">
        <f>IF(user_behavior_dataset!$D306&lt;60,"Low",
IF(user_behavior_dataset!$D306&lt;=180,"Medium","High"))</f>
        <v>Medium</v>
      </c>
      <c r="O306" t="str">
        <f>IF(user_behavior_dataset!$H306&gt;=1341,"Yes","No")</f>
        <v>No</v>
      </c>
      <c r="P306" t="str">
        <f>IF(user_behavior_dataset!$F306&gt;=2229,"Yes","No")</f>
        <v>No</v>
      </c>
    </row>
    <row r="307" spans="1:16" x14ac:dyDescent="0.3">
      <c r="A307">
        <v>306</v>
      </c>
      <c r="B307" t="s">
        <v>14</v>
      </c>
      <c r="C307" t="s">
        <v>12</v>
      </c>
      <c r="D307">
        <v>106</v>
      </c>
      <c r="E307">
        <v>2.8</v>
      </c>
      <c r="F307">
        <v>686</v>
      </c>
      <c r="G307">
        <v>32</v>
      </c>
      <c r="H307">
        <v>594</v>
      </c>
      <c r="I307">
        <v>27</v>
      </c>
      <c r="J307" t="str">
        <f t="shared" si="8"/>
        <v>25–40</v>
      </c>
      <c r="K307" t="s">
        <v>13</v>
      </c>
      <c r="L307">
        <v>2</v>
      </c>
      <c r="M307" t="str">
        <f t="shared" si="9"/>
        <v>Yes</v>
      </c>
      <c r="N307" t="str">
        <f>IF(user_behavior_dataset!$D307&lt;60,"Low",
IF(user_behavior_dataset!$D307&lt;=180,"Medium","High"))</f>
        <v>Medium</v>
      </c>
      <c r="O307" t="str">
        <f>IF(user_behavior_dataset!$H307&gt;=1341,"Yes","No")</f>
        <v>No</v>
      </c>
      <c r="P307" t="str">
        <f>IF(user_behavior_dataset!$F307&gt;=2229,"Yes","No")</f>
        <v>No</v>
      </c>
    </row>
    <row r="308" spans="1:16" x14ac:dyDescent="0.3">
      <c r="A308">
        <v>307</v>
      </c>
      <c r="B308" t="s">
        <v>14</v>
      </c>
      <c r="C308" t="s">
        <v>12</v>
      </c>
      <c r="D308">
        <v>243</v>
      </c>
      <c r="E308">
        <v>5</v>
      </c>
      <c r="F308">
        <v>1232</v>
      </c>
      <c r="G308">
        <v>47</v>
      </c>
      <c r="H308">
        <v>877</v>
      </c>
      <c r="I308">
        <v>43</v>
      </c>
      <c r="J308" t="str">
        <f t="shared" si="8"/>
        <v>40+</v>
      </c>
      <c r="K308" t="s">
        <v>13</v>
      </c>
      <c r="L308">
        <v>3</v>
      </c>
      <c r="M308" t="str">
        <f t="shared" si="9"/>
        <v>Yes</v>
      </c>
      <c r="N308" t="str">
        <f>IF(user_behavior_dataset!$D308&lt;60,"Low",
IF(user_behavior_dataset!$D308&lt;=180,"Medium","High"))</f>
        <v>High</v>
      </c>
      <c r="O308" t="str">
        <f>IF(user_behavior_dataset!$H308&gt;=1341,"Yes","No")</f>
        <v>No</v>
      </c>
      <c r="P308" t="str">
        <f>IF(user_behavior_dataset!$F308&gt;=2229,"Yes","No")</f>
        <v>No</v>
      </c>
    </row>
    <row r="309" spans="1:16" x14ac:dyDescent="0.3">
      <c r="A309">
        <v>308</v>
      </c>
      <c r="B309" t="s">
        <v>14</v>
      </c>
      <c r="C309" t="s">
        <v>12</v>
      </c>
      <c r="D309">
        <v>410</v>
      </c>
      <c r="E309">
        <v>7.5</v>
      </c>
      <c r="F309">
        <v>2176</v>
      </c>
      <c r="G309">
        <v>68</v>
      </c>
      <c r="H309">
        <v>1213</v>
      </c>
      <c r="I309">
        <v>45</v>
      </c>
      <c r="J309" t="str">
        <f t="shared" si="8"/>
        <v>40+</v>
      </c>
      <c r="K309" t="s">
        <v>15</v>
      </c>
      <c r="L309">
        <v>4</v>
      </c>
      <c r="M309" t="str">
        <f t="shared" si="9"/>
        <v>Yes</v>
      </c>
      <c r="N309" t="str">
        <f>IF(user_behavior_dataset!$D309&lt;60,"Low",
IF(user_behavior_dataset!$D309&lt;=180,"Medium","High"))</f>
        <v>High</v>
      </c>
      <c r="O309" t="str">
        <f>IF(user_behavior_dataset!$H309&gt;=1341,"Yes","No")</f>
        <v>No</v>
      </c>
      <c r="P309" t="str">
        <f>IF(user_behavior_dataset!$F309&gt;=2229,"Yes","No")</f>
        <v>No</v>
      </c>
    </row>
    <row r="310" spans="1:16" x14ac:dyDescent="0.3">
      <c r="A310">
        <v>309</v>
      </c>
      <c r="B310" t="s">
        <v>17</v>
      </c>
      <c r="C310" t="s">
        <v>18</v>
      </c>
      <c r="D310">
        <v>285</v>
      </c>
      <c r="E310">
        <v>5.0999999999999996</v>
      </c>
      <c r="F310">
        <v>1226</v>
      </c>
      <c r="G310">
        <v>57</v>
      </c>
      <c r="H310">
        <v>666</v>
      </c>
      <c r="I310">
        <v>20</v>
      </c>
      <c r="J310" t="str">
        <f t="shared" si="8"/>
        <v>&lt;25</v>
      </c>
      <c r="K310" t="s">
        <v>15</v>
      </c>
      <c r="L310">
        <v>3</v>
      </c>
      <c r="M310" t="str">
        <f t="shared" si="9"/>
        <v>Yes</v>
      </c>
      <c r="N310" t="str">
        <f>IF(user_behavior_dataset!$D310&lt;60,"Low",
IF(user_behavior_dataset!$D310&lt;=180,"Medium","High"))</f>
        <v>High</v>
      </c>
      <c r="O310" t="str">
        <f>IF(user_behavior_dataset!$H310&gt;=1341,"Yes","No")</f>
        <v>No</v>
      </c>
      <c r="P310" t="str">
        <f>IF(user_behavior_dataset!$F310&gt;=2229,"Yes","No")</f>
        <v>No</v>
      </c>
    </row>
    <row r="311" spans="1:16" x14ac:dyDescent="0.3">
      <c r="A311">
        <v>310</v>
      </c>
      <c r="B311" t="s">
        <v>14</v>
      </c>
      <c r="C311" t="s">
        <v>12</v>
      </c>
      <c r="D311">
        <v>397</v>
      </c>
      <c r="E311">
        <v>6.8</v>
      </c>
      <c r="F311">
        <v>2027</v>
      </c>
      <c r="G311">
        <v>66</v>
      </c>
      <c r="H311">
        <v>1167</v>
      </c>
      <c r="I311">
        <v>40</v>
      </c>
      <c r="J311" t="str">
        <f t="shared" si="8"/>
        <v>25–40</v>
      </c>
      <c r="K311" t="s">
        <v>13</v>
      </c>
      <c r="L311">
        <v>4</v>
      </c>
      <c r="M311" t="str">
        <f t="shared" si="9"/>
        <v>Yes</v>
      </c>
      <c r="N311" t="str">
        <f>IF(user_behavior_dataset!$D311&lt;60,"Low",
IF(user_behavior_dataset!$D311&lt;=180,"Medium","High"))</f>
        <v>High</v>
      </c>
      <c r="O311" t="str">
        <f>IF(user_behavior_dataset!$H311&gt;=1341,"Yes","No")</f>
        <v>No</v>
      </c>
      <c r="P311" t="str">
        <f>IF(user_behavior_dataset!$F311&gt;=2229,"Yes","No")</f>
        <v>No</v>
      </c>
    </row>
    <row r="312" spans="1:16" x14ac:dyDescent="0.3">
      <c r="A312">
        <v>311</v>
      </c>
      <c r="B312" t="s">
        <v>19</v>
      </c>
      <c r="C312" t="s">
        <v>12</v>
      </c>
      <c r="D312">
        <v>230</v>
      </c>
      <c r="E312">
        <v>4.2</v>
      </c>
      <c r="F312">
        <v>1507</v>
      </c>
      <c r="G312">
        <v>51</v>
      </c>
      <c r="H312">
        <v>868</v>
      </c>
      <c r="I312">
        <v>25</v>
      </c>
      <c r="J312" t="str">
        <f t="shared" si="8"/>
        <v>25–40</v>
      </c>
      <c r="K312" t="s">
        <v>15</v>
      </c>
      <c r="L312">
        <v>3</v>
      </c>
      <c r="M312" t="str">
        <f t="shared" si="9"/>
        <v>Yes</v>
      </c>
      <c r="N312" t="str">
        <f>IF(user_behavior_dataset!$D312&lt;60,"Low",
IF(user_behavior_dataset!$D312&lt;=180,"Medium","High"))</f>
        <v>High</v>
      </c>
      <c r="O312" t="str">
        <f>IF(user_behavior_dataset!$H312&gt;=1341,"Yes","No")</f>
        <v>No</v>
      </c>
      <c r="P312" t="str">
        <f>IF(user_behavior_dataset!$F312&gt;=2229,"Yes","No")</f>
        <v>No</v>
      </c>
    </row>
    <row r="313" spans="1:16" x14ac:dyDescent="0.3">
      <c r="A313">
        <v>312</v>
      </c>
      <c r="B313" t="s">
        <v>17</v>
      </c>
      <c r="C313" t="s">
        <v>18</v>
      </c>
      <c r="D313">
        <v>341</v>
      </c>
      <c r="E313">
        <v>7.2</v>
      </c>
      <c r="F313">
        <v>2397</v>
      </c>
      <c r="G313">
        <v>68</v>
      </c>
      <c r="H313">
        <v>1055</v>
      </c>
      <c r="I313">
        <v>32</v>
      </c>
      <c r="J313" t="str">
        <f t="shared" si="8"/>
        <v>25–40</v>
      </c>
      <c r="K313" t="s">
        <v>15</v>
      </c>
      <c r="L313">
        <v>4</v>
      </c>
      <c r="M313" t="str">
        <f t="shared" si="9"/>
        <v>Yes</v>
      </c>
      <c r="N313" t="str">
        <f>IF(user_behavior_dataset!$D313&lt;60,"Low",
IF(user_behavior_dataset!$D313&lt;=180,"Medium","High"))</f>
        <v>High</v>
      </c>
      <c r="O313" t="str">
        <f>IF(user_behavior_dataset!$H313&gt;=1341,"Yes","No")</f>
        <v>No</v>
      </c>
      <c r="P313" t="str">
        <f>IF(user_behavior_dataset!$F313&gt;=2229,"Yes","No")</f>
        <v>Yes</v>
      </c>
    </row>
    <row r="314" spans="1:16" x14ac:dyDescent="0.3">
      <c r="A314">
        <v>313</v>
      </c>
      <c r="B314" t="s">
        <v>11</v>
      </c>
      <c r="C314" t="s">
        <v>12</v>
      </c>
      <c r="D314">
        <v>132</v>
      </c>
      <c r="E314">
        <v>2.9</v>
      </c>
      <c r="F314">
        <v>1054</v>
      </c>
      <c r="G314">
        <v>32</v>
      </c>
      <c r="H314">
        <v>563</v>
      </c>
      <c r="I314">
        <v>20</v>
      </c>
      <c r="J314" t="str">
        <f t="shared" si="8"/>
        <v>&lt;25</v>
      </c>
      <c r="K314" t="s">
        <v>13</v>
      </c>
      <c r="L314">
        <v>2</v>
      </c>
      <c r="M314" t="str">
        <f t="shared" si="9"/>
        <v>Yes</v>
      </c>
      <c r="N314" t="str">
        <f>IF(user_behavior_dataset!$D314&lt;60,"Low",
IF(user_behavior_dataset!$D314&lt;=180,"Medium","High"))</f>
        <v>Medium</v>
      </c>
      <c r="O314" t="str">
        <f>IF(user_behavior_dataset!$H314&gt;=1341,"Yes","No")</f>
        <v>No</v>
      </c>
      <c r="P314" t="str">
        <f>IF(user_behavior_dataset!$F314&gt;=2229,"Yes","No")</f>
        <v>No</v>
      </c>
    </row>
    <row r="315" spans="1:16" x14ac:dyDescent="0.3">
      <c r="A315">
        <v>314</v>
      </c>
      <c r="B315" t="s">
        <v>16</v>
      </c>
      <c r="C315" t="s">
        <v>12</v>
      </c>
      <c r="D315">
        <v>130</v>
      </c>
      <c r="E315">
        <v>3</v>
      </c>
      <c r="F315">
        <v>820</v>
      </c>
      <c r="G315">
        <v>21</v>
      </c>
      <c r="H315">
        <v>308</v>
      </c>
      <c r="I315">
        <v>49</v>
      </c>
      <c r="J315" t="str">
        <f t="shared" si="8"/>
        <v>40+</v>
      </c>
      <c r="K315" t="s">
        <v>15</v>
      </c>
      <c r="L315">
        <v>2</v>
      </c>
      <c r="M315" t="str">
        <f t="shared" si="9"/>
        <v>Yes</v>
      </c>
      <c r="N315" t="str">
        <f>IF(user_behavior_dataset!$D315&lt;60,"Low",
IF(user_behavior_dataset!$D315&lt;=180,"Medium","High"))</f>
        <v>Medium</v>
      </c>
      <c r="O315" t="str">
        <f>IF(user_behavior_dataset!$H315&gt;=1341,"Yes","No")</f>
        <v>No</v>
      </c>
      <c r="P315" t="str">
        <f>IF(user_behavior_dataset!$F315&gt;=2229,"Yes","No")</f>
        <v>No</v>
      </c>
    </row>
    <row r="316" spans="1:16" x14ac:dyDescent="0.3">
      <c r="A316">
        <v>315</v>
      </c>
      <c r="B316" t="s">
        <v>17</v>
      </c>
      <c r="C316" t="s">
        <v>18</v>
      </c>
      <c r="D316">
        <v>281</v>
      </c>
      <c r="E316">
        <v>4.9000000000000004</v>
      </c>
      <c r="F316">
        <v>1566</v>
      </c>
      <c r="G316">
        <v>59</v>
      </c>
      <c r="H316">
        <v>632</v>
      </c>
      <c r="I316">
        <v>29</v>
      </c>
      <c r="J316" t="str">
        <f t="shared" si="8"/>
        <v>25–40</v>
      </c>
      <c r="K316" t="s">
        <v>13</v>
      </c>
      <c r="L316">
        <v>3</v>
      </c>
      <c r="M316" t="str">
        <f t="shared" si="9"/>
        <v>Yes</v>
      </c>
      <c r="N316" t="str">
        <f>IF(user_behavior_dataset!$D316&lt;60,"Low",
IF(user_behavior_dataset!$D316&lt;=180,"Medium","High"))</f>
        <v>High</v>
      </c>
      <c r="O316" t="str">
        <f>IF(user_behavior_dataset!$H316&gt;=1341,"Yes","No")</f>
        <v>No</v>
      </c>
      <c r="P316" t="str">
        <f>IF(user_behavior_dataset!$F316&gt;=2229,"Yes","No")</f>
        <v>No</v>
      </c>
    </row>
    <row r="317" spans="1:16" x14ac:dyDescent="0.3">
      <c r="A317">
        <v>316</v>
      </c>
      <c r="B317" t="s">
        <v>14</v>
      </c>
      <c r="C317" t="s">
        <v>12</v>
      </c>
      <c r="D317">
        <v>74</v>
      </c>
      <c r="E317">
        <v>2</v>
      </c>
      <c r="F317">
        <v>320</v>
      </c>
      <c r="G317">
        <v>11</v>
      </c>
      <c r="H317">
        <v>103</v>
      </c>
      <c r="I317">
        <v>55</v>
      </c>
      <c r="J317" t="str">
        <f t="shared" si="8"/>
        <v>40+</v>
      </c>
      <c r="K317" t="s">
        <v>15</v>
      </c>
      <c r="L317">
        <v>1</v>
      </c>
      <c r="M317" t="str">
        <f t="shared" si="9"/>
        <v>Yes</v>
      </c>
      <c r="N317" t="str">
        <f>IF(user_behavior_dataset!$D317&lt;60,"Low",
IF(user_behavior_dataset!$D317&lt;=180,"Medium","High"))</f>
        <v>Medium</v>
      </c>
      <c r="O317" t="str">
        <f>IF(user_behavior_dataset!$H317&gt;=1341,"Yes","No")</f>
        <v>No</v>
      </c>
      <c r="P317" t="str">
        <f>IF(user_behavior_dataset!$F317&gt;=2229,"Yes","No")</f>
        <v>No</v>
      </c>
    </row>
    <row r="318" spans="1:16" x14ac:dyDescent="0.3">
      <c r="A318">
        <v>317</v>
      </c>
      <c r="B318" t="s">
        <v>14</v>
      </c>
      <c r="C318" t="s">
        <v>12</v>
      </c>
      <c r="D318">
        <v>299</v>
      </c>
      <c r="E318">
        <v>4.3</v>
      </c>
      <c r="F318">
        <v>1737</v>
      </c>
      <c r="G318">
        <v>43</v>
      </c>
      <c r="H318">
        <v>953</v>
      </c>
      <c r="I318">
        <v>42</v>
      </c>
      <c r="J318" t="str">
        <f t="shared" si="8"/>
        <v>40+</v>
      </c>
      <c r="K318" t="s">
        <v>15</v>
      </c>
      <c r="L318">
        <v>3</v>
      </c>
      <c r="M318" t="str">
        <f t="shared" si="9"/>
        <v>Yes</v>
      </c>
      <c r="N318" t="str">
        <f>IF(user_behavior_dataset!$D318&lt;60,"Low",
IF(user_behavior_dataset!$D318&lt;=180,"Medium","High"))</f>
        <v>High</v>
      </c>
      <c r="O318" t="str">
        <f>IF(user_behavior_dataset!$H318&gt;=1341,"Yes","No")</f>
        <v>No</v>
      </c>
      <c r="P318" t="str">
        <f>IF(user_behavior_dataset!$F318&gt;=2229,"Yes","No")</f>
        <v>No</v>
      </c>
    </row>
    <row r="319" spans="1:16" x14ac:dyDescent="0.3">
      <c r="A319">
        <v>318</v>
      </c>
      <c r="B319" t="s">
        <v>11</v>
      </c>
      <c r="C319" t="s">
        <v>12</v>
      </c>
      <c r="D319">
        <v>116</v>
      </c>
      <c r="E319">
        <v>2.2000000000000002</v>
      </c>
      <c r="F319">
        <v>827</v>
      </c>
      <c r="G319">
        <v>29</v>
      </c>
      <c r="H319">
        <v>434</v>
      </c>
      <c r="I319">
        <v>28</v>
      </c>
      <c r="J319" t="str">
        <f t="shared" si="8"/>
        <v>25–40</v>
      </c>
      <c r="K319" t="s">
        <v>15</v>
      </c>
      <c r="L319">
        <v>2</v>
      </c>
      <c r="M319" t="str">
        <f t="shared" si="9"/>
        <v>Yes</v>
      </c>
      <c r="N319" t="str">
        <f>IF(user_behavior_dataset!$D319&lt;60,"Low",
IF(user_behavior_dataset!$D319&lt;=180,"Medium","High"))</f>
        <v>Medium</v>
      </c>
      <c r="O319" t="str">
        <f>IF(user_behavior_dataset!$H319&gt;=1341,"Yes","No")</f>
        <v>No</v>
      </c>
      <c r="P319" t="str">
        <f>IF(user_behavior_dataset!$F319&gt;=2229,"Yes","No")</f>
        <v>No</v>
      </c>
    </row>
    <row r="320" spans="1:16" x14ac:dyDescent="0.3">
      <c r="A320">
        <v>319</v>
      </c>
      <c r="B320" t="s">
        <v>14</v>
      </c>
      <c r="C320" t="s">
        <v>12</v>
      </c>
      <c r="D320">
        <v>408</v>
      </c>
      <c r="E320">
        <v>6.6</v>
      </c>
      <c r="F320">
        <v>2026</v>
      </c>
      <c r="G320">
        <v>63</v>
      </c>
      <c r="H320">
        <v>1076</v>
      </c>
      <c r="I320">
        <v>47</v>
      </c>
      <c r="J320" t="str">
        <f t="shared" si="8"/>
        <v>40+</v>
      </c>
      <c r="K320" t="s">
        <v>15</v>
      </c>
      <c r="L320">
        <v>4</v>
      </c>
      <c r="M320" t="str">
        <f t="shared" si="9"/>
        <v>Yes</v>
      </c>
      <c r="N320" t="str">
        <f>IF(user_behavior_dataset!$D320&lt;60,"Low",
IF(user_behavior_dataset!$D320&lt;=180,"Medium","High"))</f>
        <v>High</v>
      </c>
      <c r="O320" t="str">
        <f>IF(user_behavior_dataset!$H320&gt;=1341,"Yes","No")</f>
        <v>No</v>
      </c>
      <c r="P320" t="str">
        <f>IF(user_behavior_dataset!$F320&gt;=2229,"Yes","No")</f>
        <v>No</v>
      </c>
    </row>
    <row r="321" spans="1:16" x14ac:dyDescent="0.3">
      <c r="A321">
        <v>320</v>
      </c>
      <c r="B321" t="s">
        <v>11</v>
      </c>
      <c r="C321" t="s">
        <v>12</v>
      </c>
      <c r="D321">
        <v>508</v>
      </c>
      <c r="E321">
        <v>11.3</v>
      </c>
      <c r="F321">
        <v>2590</v>
      </c>
      <c r="G321">
        <v>81</v>
      </c>
      <c r="H321">
        <v>2481</v>
      </c>
      <c r="I321">
        <v>51</v>
      </c>
      <c r="J321" t="str">
        <f t="shared" si="8"/>
        <v>40+</v>
      </c>
      <c r="K321" t="s">
        <v>13</v>
      </c>
      <c r="L321">
        <v>5</v>
      </c>
      <c r="M321" t="str">
        <f t="shared" si="9"/>
        <v>Yes</v>
      </c>
      <c r="N321" t="str">
        <f>IF(user_behavior_dataset!$D321&lt;60,"Low",
IF(user_behavior_dataset!$D321&lt;=180,"Medium","High"))</f>
        <v>High</v>
      </c>
      <c r="O321" t="str">
        <f>IF(user_behavior_dataset!$H321&gt;=1341,"Yes","No")</f>
        <v>Yes</v>
      </c>
      <c r="P321" t="str">
        <f>IF(user_behavior_dataset!$F321&gt;=2229,"Yes","No")</f>
        <v>Yes</v>
      </c>
    </row>
    <row r="322" spans="1:16" x14ac:dyDescent="0.3">
      <c r="A322">
        <v>321</v>
      </c>
      <c r="B322" t="s">
        <v>17</v>
      </c>
      <c r="C322" t="s">
        <v>18</v>
      </c>
      <c r="D322">
        <v>227</v>
      </c>
      <c r="E322">
        <v>4.4000000000000004</v>
      </c>
      <c r="F322">
        <v>1275</v>
      </c>
      <c r="G322">
        <v>56</v>
      </c>
      <c r="H322">
        <v>984</v>
      </c>
      <c r="I322">
        <v>22</v>
      </c>
      <c r="J322" t="str">
        <f t="shared" si="8"/>
        <v>&lt;25</v>
      </c>
      <c r="K322" t="s">
        <v>15</v>
      </c>
      <c r="L322">
        <v>3</v>
      </c>
      <c r="M322" t="str">
        <f t="shared" si="9"/>
        <v>Yes</v>
      </c>
      <c r="N322" t="str">
        <f>IF(user_behavior_dataset!$D322&lt;60,"Low",
IF(user_behavior_dataset!$D322&lt;=180,"Medium","High"))</f>
        <v>High</v>
      </c>
      <c r="O322" t="str">
        <f>IF(user_behavior_dataset!$H322&gt;=1341,"Yes","No")</f>
        <v>No</v>
      </c>
      <c r="P322" t="str">
        <f>IF(user_behavior_dataset!$F322&gt;=2229,"Yes","No")</f>
        <v>No</v>
      </c>
    </row>
    <row r="323" spans="1:16" x14ac:dyDescent="0.3">
      <c r="A323">
        <v>322</v>
      </c>
      <c r="B323" t="s">
        <v>11</v>
      </c>
      <c r="C323" t="s">
        <v>12</v>
      </c>
      <c r="D323">
        <v>274</v>
      </c>
      <c r="E323">
        <v>6</v>
      </c>
      <c r="F323">
        <v>1489</v>
      </c>
      <c r="G323">
        <v>56</v>
      </c>
      <c r="H323">
        <v>666</v>
      </c>
      <c r="I323">
        <v>57</v>
      </c>
      <c r="J323" t="str">
        <f t="shared" ref="J323:J386" si="10">IF(I323="","Unknown",IF(I323&lt;25,"&lt;25",IF(I323&lt;=40,"25–40","40+")))</f>
        <v>40+</v>
      </c>
      <c r="K323" t="s">
        <v>15</v>
      </c>
      <c r="L323">
        <v>3</v>
      </c>
      <c r="M323" t="str">
        <f t="shared" ref="M323:M386" si="11">IF(D323&gt;=60,"Yes","No")</f>
        <v>Yes</v>
      </c>
      <c r="N323" t="str">
        <f>IF(user_behavior_dataset!$D323&lt;60,"Low",
IF(user_behavior_dataset!$D323&lt;=180,"Medium","High"))</f>
        <v>High</v>
      </c>
      <c r="O323" t="str">
        <f>IF(user_behavior_dataset!$H323&gt;=1341,"Yes","No")</f>
        <v>No</v>
      </c>
      <c r="P323" t="str">
        <f>IF(user_behavior_dataset!$F323&gt;=2229,"Yes","No")</f>
        <v>No</v>
      </c>
    </row>
    <row r="324" spans="1:16" x14ac:dyDescent="0.3">
      <c r="A324">
        <v>323</v>
      </c>
      <c r="B324" t="s">
        <v>11</v>
      </c>
      <c r="C324" t="s">
        <v>12</v>
      </c>
      <c r="D324">
        <v>347</v>
      </c>
      <c r="E324">
        <v>6.3</v>
      </c>
      <c r="F324">
        <v>2001</v>
      </c>
      <c r="G324">
        <v>61</v>
      </c>
      <c r="H324">
        <v>1456</v>
      </c>
      <c r="I324">
        <v>21</v>
      </c>
      <c r="J324" t="str">
        <f t="shared" si="10"/>
        <v>&lt;25</v>
      </c>
      <c r="K324" t="s">
        <v>15</v>
      </c>
      <c r="L324">
        <v>4</v>
      </c>
      <c r="M324" t="str">
        <f t="shared" si="11"/>
        <v>Yes</v>
      </c>
      <c r="N324" t="str">
        <f>IF(user_behavior_dataset!$D324&lt;60,"Low",
IF(user_behavior_dataset!$D324&lt;=180,"Medium","High"))</f>
        <v>High</v>
      </c>
      <c r="O324" t="str">
        <f>IF(user_behavior_dataset!$H324&gt;=1341,"Yes","No")</f>
        <v>Yes</v>
      </c>
      <c r="P324" t="str">
        <f>IF(user_behavior_dataset!$F324&gt;=2229,"Yes","No")</f>
        <v>No</v>
      </c>
    </row>
    <row r="325" spans="1:16" x14ac:dyDescent="0.3">
      <c r="A325">
        <v>324</v>
      </c>
      <c r="B325" t="s">
        <v>16</v>
      </c>
      <c r="C325" t="s">
        <v>12</v>
      </c>
      <c r="D325">
        <v>76</v>
      </c>
      <c r="E325">
        <v>1.3</v>
      </c>
      <c r="F325">
        <v>490</v>
      </c>
      <c r="G325">
        <v>14</v>
      </c>
      <c r="H325">
        <v>156</v>
      </c>
      <c r="I325">
        <v>31</v>
      </c>
      <c r="J325" t="str">
        <f t="shared" si="10"/>
        <v>25–40</v>
      </c>
      <c r="K325" t="s">
        <v>15</v>
      </c>
      <c r="L325">
        <v>1</v>
      </c>
      <c r="M325" t="str">
        <f t="shared" si="11"/>
        <v>Yes</v>
      </c>
      <c r="N325" t="str">
        <f>IF(user_behavior_dataset!$D325&lt;60,"Low",
IF(user_behavior_dataset!$D325&lt;=180,"Medium","High"))</f>
        <v>Medium</v>
      </c>
      <c r="O325" t="str">
        <f>IF(user_behavior_dataset!$H325&gt;=1341,"Yes","No")</f>
        <v>No</v>
      </c>
      <c r="P325" t="str">
        <f>IF(user_behavior_dataset!$F325&gt;=2229,"Yes","No")</f>
        <v>No</v>
      </c>
    </row>
    <row r="326" spans="1:16" x14ac:dyDescent="0.3">
      <c r="A326">
        <v>325</v>
      </c>
      <c r="B326" t="s">
        <v>17</v>
      </c>
      <c r="C326" t="s">
        <v>18</v>
      </c>
      <c r="D326">
        <v>445</v>
      </c>
      <c r="E326">
        <v>7.5</v>
      </c>
      <c r="F326">
        <v>2007</v>
      </c>
      <c r="G326">
        <v>78</v>
      </c>
      <c r="H326">
        <v>1115</v>
      </c>
      <c r="I326">
        <v>23</v>
      </c>
      <c r="J326" t="str">
        <f t="shared" si="10"/>
        <v>&lt;25</v>
      </c>
      <c r="K326" t="s">
        <v>13</v>
      </c>
      <c r="L326">
        <v>4</v>
      </c>
      <c r="M326" t="str">
        <f t="shared" si="11"/>
        <v>Yes</v>
      </c>
      <c r="N326" t="str">
        <f>IF(user_behavior_dataset!$D326&lt;60,"Low",
IF(user_behavior_dataset!$D326&lt;=180,"Medium","High"))</f>
        <v>High</v>
      </c>
      <c r="O326" t="str">
        <f>IF(user_behavior_dataset!$H326&gt;=1341,"Yes","No")</f>
        <v>No</v>
      </c>
      <c r="P326" t="str">
        <f>IF(user_behavior_dataset!$F326&gt;=2229,"Yes","No")</f>
        <v>No</v>
      </c>
    </row>
    <row r="327" spans="1:16" x14ac:dyDescent="0.3">
      <c r="A327">
        <v>326</v>
      </c>
      <c r="B327" t="s">
        <v>14</v>
      </c>
      <c r="C327" t="s">
        <v>12</v>
      </c>
      <c r="D327">
        <v>203</v>
      </c>
      <c r="E327">
        <v>4.3</v>
      </c>
      <c r="F327">
        <v>1554</v>
      </c>
      <c r="G327">
        <v>54</v>
      </c>
      <c r="H327">
        <v>638</v>
      </c>
      <c r="I327">
        <v>25</v>
      </c>
      <c r="J327" t="str">
        <f t="shared" si="10"/>
        <v>25–40</v>
      </c>
      <c r="K327" t="s">
        <v>15</v>
      </c>
      <c r="L327">
        <v>3</v>
      </c>
      <c r="M327" t="str">
        <f t="shared" si="11"/>
        <v>Yes</v>
      </c>
      <c r="N327" t="str">
        <f>IF(user_behavior_dataset!$D327&lt;60,"Low",
IF(user_behavior_dataset!$D327&lt;=180,"Medium","High"))</f>
        <v>High</v>
      </c>
      <c r="O327" t="str">
        <f>IF(user_behavior_dataset!$H327&gt;=1341,"Yes","No")</f>
        <v>No</v>
      </c>
      <c r="P327" t="str">
        <f>IF(user_behavior_dataset!$F327&gt;=2229,"Yes","No")</f>
        <v>No</v>
      </c>
    </row>
    <row r="328" spans="1:16" x14ac:dyDescent="0.3">
      <c r="A328">
        <v>327</v>
      </c>
      <c r="B328" t="s">
        <v>19</v>
      </c>
      <c r="C328" t="s">
        <v>12</v>
      </c>
      <c r="D328">
        <v>199</v>
      </c>
      <c r="E328">
        <v>6</v>
      </c>
      <c r="F328">
        <v>1707</v>
      </c>
      <c r="G328">
        <v>57</v>
      </c>
      <c r="H328">
        <v>881</v>
      </c>
      <c r="I328">
        <v>55</v>
      </c>
      <c r="J328" t="str">
        <f t="shared" si="10"/>
        <v>40+</v>
      </c>
      <c r="K328" t="s">
        <v>13</v>
      </c>
      <c r="L328">
        <v>3</v>
      </c>
      <c r="M328" t="str">
        <f t="shared" si="11"/>
        <v>Yes</v>
      </c>
      <c r="N328" t="str">
        <f>IF(user_behavior_dataset!$D328&lt;60,"Low",
IF(user_behavior_dataset!$D328&lt;=180,"Medium","High"))</f>
        <v>High</v>
      </c>
      <c r="O328" t="str">
        <f>IF(user_behavior_dataset!$H328&gt;=1341,"Yes","No")</f>
        <v>No</v>
      </c>
      <c r="P328" t="str">
        <f>IF(user_behavior_dataset!$F328&gt;=2229,"Yes","No")</f>
        <v>No</v>
      </c>
    </row>
    <row r="329" spans="1:16" x14ac:dyDescent="0.3">
      <c r="A329">
        <v>328</v>
      </c>
      <c r="B329" t="s">
        <v>14</v>
      </c>
      <c r="C329" t="s">
        <v>12</v>
      </c>
      <c r="D329">
        <v>48</v>
      </c>
      <c r="E329">
        <v>2</v>
      </c>
      <c r="F329">
        <v>574</v>
      </c>
      <c r="G329">
        <v>18</v>
      </c>
      <c r="H329">
        <v>127</v>
      </c>
      <c r="I329">
        <v>24</v>
      </c>
      <c r="J329" t="str">
        <f t="shared" si="10"/>
        <v>&lt;25</v>
      </c>
      <c r="K329" t="s">
        <v>15</v>
      </c>
      <c r="L329">
        <v>1</v>
      </c>
      <c r="M329" t="str">
        <f t="shared" si="11"/>
        <v>No</v>
      </c>
      <c r="N329" t="str">
        <f>IF(user_behavior_dataset!$D329&lt;60,"Low",
IF(user_behavior_dataset!$D329&lt;=180,"Medium","High"))</f>
        <v>Low</v>
      </c>
      <c r="O329" t="str">
        <f>IF(user_behavior_dataset!$H329&gt;=1341,"Yes","No")</f>
        <v>No</v>
      </c>
      <c r="P329" t="str">
        <f>IF(user_behavior_dataset!$F329&gt;=2229,"Yes","No")</f>
        <v>No</v>
      </c>
    </row>
    <row r="330" spans="1:16" x14ac:dyDescent="0.3">
      <c r="A330">
        <v>329</v>
      </c>
      <c r="B330" t="s">
        <v>14</v>
      </c>
      <c r="C330" t="s">
        <v>12</v>
      </c>
      <c r="D330">
        <v>88</v>
      </c>
      <c r="E330">
        <v>1.6</v>
      </c>
      <c r="F330">
        <v>420</v>
      </c>
      <c r="G330">
        <v>12</v>
      </c>
      <c r="H330">
        <v>274</v>
      </c>
      <c r="I330">
        <v>31</v>
      </c>
      <c r="J330" t="str">
        <f t="shared" si="10"/>
        <v>25–40</v>
      </c>
      <c r="K330" t="s">
        <v>15</v>
      </c>
      <c r="L330">
        <v>1</v>
      </c>
      <c r="M330" t="str">
        <f t="shared" si="11"/>
        <v>Yes</v>
      </c>
      <c r="N330" t="str">
        <f>IF(user_behavior_dataset!$D330&lt;60,"Low",
IF(user_behavior_dataset!$D330&lt;=180,"Medium","High"))</f>
        <v>Medium</v>
      </c>
      <c r="O330" t="str">
        <f>IF(user_behavior_dataset!$H330&gt;=1341,"Yes","No")</f>
        <v>No</v>
      </c>
      <c r="P330" t="str">
        <f>IF(user_behavior_dataset!$F330&gt;=2229,"Yes","No")</f>
        <v>No</v>
      </c>
    </row>
    <row r="331" spans="1:16" x14ac:dyDescent="0.3">
      <c r="A331">
        <v>330</v>
      </c>
      <c r="B331" t="s">
        <v>17</v>
      </c>
      <c r="C331" t="s">
        <v>18</v>
      </c>
      <c r="D331">
        <v>541</v>
      </c>
      <c r="E331">
        <v>8.3000000000000007</v>
      </c>
      <c r="F331">
        <v>2865</v>
      </c>
      <c r="G331">
        <v>89</v>
      </c>
      <c r="H331">
        <v>1820</v>
      </c>
      <c r="I331">
        <v>42</v>
      </c>
      <c r="J331" t="str">
        <f t="shared" si="10"/>
        <v>40+</v>
      </c>
      <c r="K331" t="s">
        <v>15</v>
      </c>
      <c r="L331">
        <v>5</v>
      </c>
      <c r="M331" t="str">
        <f t="shared" si="11"/>
        <v>Yes</v>
      </c>
      <c r="N331" t="str">
        <f>IF(user_behavior_dataset!$D331&lt;60,"Low",
IF(user_behavior_dataset!$D331&lt;=180,"Medium","High"))</f>
        <v>High</v>
      </c>
      <c r="O331" t="str">
        <f>IF(user_behavior_dataset!$H331&gt;=1341,"Yes","No")</f>
        <v>Yes</v>
      </c>
      <c r="P331" t="str">
        <f>IF(user_behavior_dataset!$F331&gt;=2229,"Yes","No")</f>
        <v>Yes</v>
      </c>
    </row>
    <row r="332" spans="1:16" x14ac:dyDescent="0.3">
      <c r="A332">
        <v>331</v>
      </c>
      <c r="B332" t="s">
        <v>11</v>
      </c>
      <c r="C332" t="s">
        <v>12</v>
      </c>
      <c r="D332">
        <v>233</v>
      </c>
      <c r="E332">
        <v>4.5999999999999996</v>
      </c>
      <c r="F332">
        <v>1534</v>
      </c>
      <c r="G332">
        <v>49</v>
      </c>
      <c r="H332">
        <v>796</v>
      </c>
      <c r="I332">
        <v>21</v>
      </c>
      <c r="J332" t="str">
        <f t="shared" si="10"/>
        <v>&lt;25</v>
      </c>
      <c r="K332" t="s">
        <v>15</v>
      </c>
      <c r="L332">
        <v>3</v>
      </c>
      <c r="M332" t="str">
        <f t="shared" si="11"/>
        <v>Yes</v>
      </c>
      <c r="N332" t="str">
        <f>IF(user_behavior_dataset!$D332&lt;60,"Low",
IF(user_behavior_dataset!$D332&lt;=180,"Medium","High"))</f>
        <v>High</v>
      </c>
      <c r="O332" t="str">
        <f>IF(user_behavior_dataset!$H332&gt;=1341,"Yes","No")</f>
        <v>No</v>
      </c>
      <c r="P332" t="str">
        <f>IF(user_behavior_dataset!$F332&gt;=2229,"Yes","No")</f>
        <v>No</v>
      </c>
    </row>
    <row r="333" spans="1:16" x14ac:dyDescent="0.3">
      <c r="A333">
        <v>332</v>
      </c>
      <c r="B333" t="s">
        <v>17</v>
      </c>
      <c r="C333" t="s">
        <v>18</v>
      </c>
      <c r="D333">
        <v>176</v>
      </c>
      <c r="E333">
        <v>3.8</v>
      </c>
      <c r="F333">
        <v>727</v>
      </c>
      <c r="G333">
        <v>36</v>
      </c>
      <c r="H333">
        <v>362</v>
      </c>
      <c r="I333">
        <v>47</v>
      </c>
      <c r="J333" t="str">
        <f t="shared" si="10"/>
        <v>40+</v>
      </c>
      <c r="K333" t="s">
        <v>15</v>
      </c>
      <c r="L333">
        <v>2</v>
      </c>
      <c r="M333" t="str">
        <f t="shared" si="11"/>
        <v>Yes</v>
      </c>
      <c r="N333" t="str">
        <f>IF(user_behavior_dataset!$D333&lt;60,"Low",
IF(user_behavior_dataset!$D333&lt;=180,"Medium","High"))</f>
        <v>Medium</v>
      </c>
      <c r="O333" t="str">
        <f>IF(user_behavior_dataset!$H333&gt;=1341,"Yes","No")</f>
        <v>No</v>
      </c>
      <c r="P333" t="str">
        <f>IF(user_behavior_dataset!$F333&gt;=2229,"Yes","No")</f>
        <v>No</v>
      </c>
    </row>
    <row r="334" spans="1:16" x14ac:dyDescent="0.3">
      <c r="A334">
        <v>333</v>
      </c>
      <c r="B334" t="s">
        <v>14</v>
      </c>
      <c r="C334" t="s">
        <v>12</v>
      </c>
      <c r="D334">
        <v>191</v>
      </c>
      <c r="E334">
        <v>6</v>
      </c>
      <c r="F334">
        <v>1762</v>
      </c>
      <c r="G334">
        <v>45</v>
      </c>
      <c r="H334">
        <v>904</v>
      </c>
      <c r="I334">
        <v>54</v>
      </c>
      <c r="J334" t="str">
        <f t="shared" si="10"/>
        <v>40+</v>
      </c>
      <c r="K334" t="s">
        <v>13</v>
      </c>
      <c r="L334">
        <v>3</v>
      </c>
      <c r="M334" t="str">
        <f t="shared" si="11"/>
        <v>Yes</v>
      </c>
      <c r="N334" t="str">
        <f>IF(user_behavior_dataset!$D334&lt;60,"Low",
IF(user_behavior_dataset!$D334&lt;=180,"Medium","High"))</f>
        <v>High</v>
      </c>
      <c r="O334" t="str">
        <f>IF(user_behavior_dataset!$H334&gt;=1341,"Yes","No")</f>
        <v>No</v>
      </c>
      <c r="P334" t="str">
        <f>IF(user_behavior_dataset!$F334&gt;=2229,"Yes","No")</f>
        <v>No</v>
      </c>
    </row>
    <row r="335" spans="1:16" x14ac:dyDescent="0.3">
      <c r="A335">
        <v>334</v>
      </c>
      <c r="B335" t="s">
        <v>11</v>
      </c>
      <c r="C335" t="s">
        <v>12</v>
      </c>
      <c r="D335">
        <v>461</v>
      </c>
      <c r="E335">
        <v>7.5</v>
      </c>
      <c r="F335">
        <v>2001</v>
      </c>
      <c r="G335">
        <v>69</v>
      </c>
      <c r="H335">
        <v>1324</v>
      </c>
      <c r="I335">
        <v>34</v>
      </c>
      <c r="J335" t="str">
        <f t="shared" si="10"/>
        <v>25–40</v>
      </c>
      <c r="K335" t="s">
        <v>15</v>
      </c>
      <c r="L335">
        <v>4</v>
      </c>
      <c r="M335" t="str">
        <f t="shared" si="11"/>
        <v>Yes</v>
      </c>
      <c r="N335" t="str">
        <f>IF(user_behavior_dataset!$D335&lt;60,"Low",
IF(user_behavior_dataset!$D335&lt;=180,"Medium","High"))</f>
        <v>High</v>
      </c>
      <c r="O335" t="str">
        <f>IF(user_behavior_dataset!$H335&gt;=1341,"Yes","No")</f>
        <v>No</v>
      </c>
      <c r="P335" t="str">
        <f>IF(user_behavior_dataset!$F335&gt;=2229,"Yes","No")</f>
        <v>No</v>
      </c>
    </row>
    <row r="336" spans="1:16" x14ac:dyDescent="0.3">
      <c r="A336">
        <v>335</v>
      </c>
      <c r="B336" t="s">
        <v>19</v>
      </c>
      <c r="C336" t="s">
        <v>12</v>
      </c>
      <c r="D336">
        <v>37</v>
      </c>
      <c r="E336">
        <v>1.5</v>
      </c>
      <c r="F336">
        <v>375</v>
      </c>
      <c r="G336">
        <v>18</v>
      </c>
      <c r="H336">
        <v>246</v>
      </c>
      <c r="I336">
        <v>46</v>
      </c>
      <c r="J336" t="str">
        <f t="shared" si="10"/>
        <v>40+</v>
      </c>
      <c r="K336" t="s">
        <v>15</v>
      </c>
      <c r="L336">
        <v>1</v>
      </c>
      <c r="M336" t="str">
        <f t="shared" si="11"/>
        <v>No</v>
      </c>
      <c r="N336" t="str">
        <f>IF(user_behavior_dataset!$D336&lt;60,"Low",
IF(user_behavior_dataset!$D336&lt;=180,"Medium","High"))</f>
        <v>Low</v>
      </c>
      <c r="O336" t="str">
        <f>IF(user_behavior_dataset!$H336&gt;=1341,"Yes","No")</f>
        <v>No</v>
      </c>
      <c r="P336" t="str">
        <f>IF(user_behavior_dataset!$F336&gt;=2229,"Yes","No")</f>
        <v>No</v>
      </c>
    </row>
    <row r="337" spans="1:16" x14ac:dyDescent="0.3">
      <c r="A337">
        <v>336</v>
      </c>
      <c r="B337" t="s">
        <v>14</v>
      </c>
      <c r="C337" t="s">
        <v>12</v>
      </c>
      <c r="D337">
        <v>531</v>
      </c>
      <c r="E337">
        <v>9.8000000000000007</v>
      </c>
      <c r="F337">
        <v>2905</v>
      </c>
      <c r="G337">
        <v>99</v>
      </c>
      <c r="H337">
        <v>1632</v>
      </c>
      <c r="I337">
        <v>45</v>
      </c>
      <c r="J337" t="str">
        <f t="shared" si="10"/>
        <v>40+</v>
      </c>
      <c r="K337" t="s">
        <v>15</v>
      </c>
      <c r="L337">
        <v>5</v>
      </c>
      <c r="M337" t="str">
        <f t="shared" si="11"/>
        <v>Yes</v>
      </c>
      <c r="N337" t="str">
        <f>IF(user_behavior_dataset!$D337&lt;60,"Low",
IF(user_behavior_dataset!$D337&lt;=180,"Medium","High"))</f>
        <v>High</v>
      </c>
      <c r="O337" t="str">
        <f>IF(user_behavior_dataset!$H337&gt;=1341,"Yes","No")</f>
        <v>Yes</v>
      </c>
      <c r="P337" t="str">
        <f>IF(user_behavior_dataset!$F337&gt;=2229,"Yes","No")</f>
        <v>Yes</v>
      </c>
    </row>
    <row r="338" spans="1:16" x14ac:dyDescent="0.3">
      <c r="A338">
        <v>337</v>
      </c>
      <c r="B338" t="s">
        <v>19</v>
      </c>
      <c r="C338" t="s">
        <v>12</v>
      </c>
      <c r="D338">
        <v>473</v>
      </c>
      <c r="E338">
        <v>7.9</v>
      </c>
      <c r="F338">
        <v>2292</v>
      </c>
      <c r="G338">
        <v>62</v>
      </c>
      <c r="H338">
        <v>1472</v>
      </c>
      <c r="I338">
        <v>44</v>
      </c>
      <c r="J338" t="str">
        <f t="shared" si="10"/>
        <v>40+</v>
      </c>
      <c r="K338" t="s">
        <v>13</v>
      </c>
      <c r="L338">
        <v>4</v>
      </c>
      <c r="M338" t="str">
        <f t="shared" si="11"/>
        <v>Yes</v>
      </c>
      <c r="N338" t="str">
        <f>IF(user_behavior_dataset!$D338&lt;60,"Low",
IF(user_behavior_dataset!$D338&lt;=180,"Medium","High"))</f>
        <v>High</v>
      </c>
      <c r="O338" t="str">
        <f>IF(user_behavior_dataset!$H338&gt;=1341,"Yes","No")</f>
        <v>Yes</v>
      </c>
      <c r="P338" t="str">
        <f>IF(user_behavior_dataset!$F338&gt;=2229,"Yes","No")</f>
        <v>Yes</v>
      </c>
    </row>
    <row r="339" spans="1:16" x14ac:dyDescent="0.3">
      <c r="A339">
        <v>338</v>
      </c>
      <c r="B339" t="s">
        <v>19</v>
      </c>
      <c r="C339" t="s">
        <v>12</v>
      </c>
      <c r="D339">
        <v>30</v>
      </c>
      <c r="E339">
        <v>1.3</v>
      </c>
      <c r="F339">
        <v>561</v>
      </c>
      <c r="G339">
        <v>15</v>
      </c>
      <c r="H339">
        <v>252</v>
      </c>
      <c r="I339">
        <v>34</v>
      </c>
      <c r="J339" t="str">
        <f t="shared" si="10"/>
        <v>25–40</v>
      </c>
      <c r="K339" t="s">
        <v>13</v>
      </c>
      <c r="L339">
        <v>1</v>
      </c>
      <c r="M339" t="str">
        <f t="shared" si="11"/>
        <v>No</v>
      </c>
      <c r="N339" t="str">
        <f>IF(user_behavior_dataset!$D339&lt;60,"Low",
IF(user_behavior_dataset!$D339&lt;=180,"Medium","High"))</f>
        <v>Low</v>
      </c>
      <c r="O339" t="str">
        <f>IF(user_behavior_dataset!$H339&gt;=1341,"Yes","No")</f>
        <v>No</v>
      </c>
      <c r="P339" t="str">
        <f>IF(user_behavior_dataset!$F339&gt;=2229,"Yes","No")</f>
        <v>No</v>
      </c>
    </row>
    <row r="340" spans="1:16" x14ac:dyDescent="0.3">
      <c r="A340">
        <v>339</v>
      </c>
      <c r="B340" t="s">
        <v>17</v>
      </c>
      <c r="C340" t="s">
        <v>18</v>
      </c>
      <c r="D340">
        <v>306</v>
      </c>
      <c r="E340">
        <v>6.1</v>
      </c>
      <c r="F340">
        <v>2267</v>
      </c>
      <c r="G340">
        <v>70</v>
      </c>
      <c r="H340">
        <v>1449</v>
      </c>
      <c r="I340">
        <v>46</v>
      </c>
      <c r="J340" t="str">
        <f t="shared" si="10"/>
        <v>40+</v>
      </c>
      <c r="K340" t="s">
        <v>13</v>
      </c>
      <c r="L340">
        <v>4</v>
      </c>
      <c r="M340" t="str">
        <f t="shared" si="11"/>
        <v>Yes</v>
      </c>
      <c r="N340" t="str">
        <f>IF(user_behavior_dataset!$D340&lt;60,"Low",
IF(user_behavior_dataset!$D340&lt;=180,"Medium","High"))</f>
        <v>High</v>
      </c>
      <c r="O340" t="str">
        <f>IF(user_behavior_dataset!$H340&gt;=1341,"Yes","No")</f>
        <v>Yes</v>
      </c>
      <c r="P340" t="str">
        <f>IF(user_behavior_dataset!$F340&gt;=2229,"Yes","No")</f>
        <v>Yes</v>
      </c>
    </row>
    <row r="341" spans="1:16" x14ac:dyDescent="0.3">
      <c r="A341">
        <v>340</v>
      </c>
      <c r="B341" t="s">
        <v>17</v>
      </c>
      <c r="C341" t="s">
        <v>18</v>
      </c>
      <c r="D341">
        <v>64</v>
      </c>
      <c r="E341">
        <v>1.2</v>
      </c>
      <c r="F341">
        <v>590</v>
      </c>
      <c r="G341">
        <v>13</v>
      </c>
      <c r="H341">
        <v>155</v>
      </c>
      <c r="I341">
        <v>30</v>
      </c>
      <c r="J341" t="str">
        <f t="shared" si="10"/>
        <v>25–40</v>
      </c>
      <c r="K341" t="s">
        <v>13</v>
      </c>
      <c r="L341">
        <v>1</v>
      </c>
      <c r="M341" t="str">
        <f t="shared" si="11"/>
        <v>Yes</v>
      </c>
      <c r="N341" t="str">
        <f>IF(user_behavior_dataset!$D341&lt;60,"Low",
IF(user_behavior_dataset!$D341&lt;=180,"Medium","High"))</f>
        <v>Medium</v>
      </c>
      <c r="O341" t="str">
        <f>IF(user_behavior_dataset!$H341&gt;=1341,"Yes","No")</f>
        <v>No</v>
      </c>
      <c r="P341" t="str">
        <f>IF(user_behavior_dataset!$F341&gt;=2229,"Yes","No")</f>
        <v>No</v>
      </c>
    </row>
    <row r="342" spans="1:16" x14ac:dyDescent="0.3">
      <c r="A342">
        <v>341</v>
      </c>
      <c r="B342" t="s">
        <v>17</v>
      </c>
      <c r="C342" t="s">
        <v>18</v>
      </c>
      <c r="D342">
        <v>75</v>
      </c>
      <c r="E342">
        <v>1</v>
      </c>
      <c r="F342">
        <v>435</v>
      </c>
      <c r="G342">
        <v>13</v>
      </c>
      <c r="H342">
        <v>223</v>
      </c>
      <c r="I342">
        <v>43</v>
      </c>
      <c r="J342" t="str">
        <f t="shared" si="10"/>
        <v>40+</v>
      </c>
      <c r="K342" t="s">
        <v>13</v>
      </c>
      <c r="L342">
        <v>1</v>
      </c>
      <c r="M342" t="str">
        <f t="shared" si="11"/>
        <v>Yes</v>
      </c>
      <c r="N342" t="str">
        <f>IF(user_behavior_dataset!$D342&lt;60,"Low",
IF(user_behavior_dataset!$D342&lt;=180,"Medium","High"))</f>
        <v>Medium</v>
      </c>
      <c r="O342" t="str">
        <f>IF(user_behavior_dataset!$H342&gt;=1341,"Yes","No")</f>
        <v>No</v>
      </c>
      <c r="P342" t="str">
        <f>IF(user_behavior_dataset!$F342&gt;=2229,"Yes","No")</f>
        <v>No</v>
      </c>
    </row>
    <row r="343" spans="1:16" x14ac:dyDescent="0.3">
      <c r="A343">
        <v>342</v>
      </c>
      <c r="B343" t="s">
        <v>17</v>
      </c>
      <c r="C343" t="s">
        <v>18</v>
      </c>
      <c r="D343">
        <v>597</v>
      </c>
      <c r="E343">
        <v>10.3</v>
      </c>
      <c r="F343">
        <v>2718</v>
      </c>
      <c r="G343">
        <v>90</v>
      </c>
      <c r="H343">
        <v>1863</v>
      </c>
      <c r="I343">
        <v>26</v>
      </c>
      <c r="J343" t="str">
        <f t="shared" si="10"/>
        <v>25–40</v>
      </c>
      <c r="K343" t="s">
        <v>15</v>
      </c>
      <c r="L343">
        <v>5</v>
      </c>
      <c r="M343" t="str">
        <f t="shared" si="11"/>
        <v>Yes</v>
      </c>
      <c r="N343" t="str">
        <f>IF(user_behavior_dataset!$D343&lt;60,"Low",
IF(user_behavior_dataset!$D343&lt;=180,"Medium","High"))</f>
        <v>High</v>
      </c>
      <c r="O343" t="str">
        <f>IF(user_behavior_dataset!$H343&gt;=1341,"Yes","No")</f>
        <v>Yes</v>
      </c>
      <c r="P343" t="str">
        <f>IF(user_behavior_dataset!$F343&gt;=2229,"Yes","No")</f>
        <v>Yes</v>
      </c>
    </row>
    <row r="344" spans="1:16" x14ac:dyDescent="0.3">
      <c r="A344">
        <v>343</v>
      </c>
      <c r="B344" t="s">
        <v>17</v>
      </c>
      <c r="C344" t="s">
        <v>18</v>
      </c>
      <c r="D344">
        <v>529</v>
      </c>
      <c r="E344">
        <v>10.5</v>
      </c>
      <c r="F344">
        <v>2971</v>
      </c>
      <c r="G344">
        <v>87</v>
      </c>
      <c r="H344">
        <v>1683</v>
      </c>
      <c r="I344">
        <v>56</v>
      </c>
      <c r="J344" t="str">
        <f t="shared" si="10"/>
        <v>40+</v>
      </c>
      <c r="K344" t="s">
        <v>13</v>
      </c>
      <c r="L344">
        <v>5</v>
      </c>
      <c r="M344" t="str">
        <f t="shared" si="11"/>
        <v>Yes</v>
      </c>
      <c r="N344" t="str">
        <f>IF(user_behavior_dataset!$D344&lt;60,"Low",
IF(user_behavior_dataset!$D344&lt;=180,"Medium","High"))</f>
        <v>High</v>
      </c>
      <c r="O344" t="str">
        <f>IF(user_behavior_dataset!$H344&gt;=1341,"Yes","No")</f>
        <v>Yes</v>
      </c>
      <c r="P344" t="str">
        <f>IF(user_behavior_dataset!$F344&gt;=2229,"Yes","No")</f>
        <v>Yes</v>
      </c>
    </row>
    <row r="345" spans="1:16" x14ac:dyDescent="0.3">
      <c r="A345">
        <v>344</v>
      </c>
      <c r="B345" t="s">
        <v>17</v>
      </c>
      <c r="C345" t="s">
        <v>18</v>
      </c>
      <c r="D345">
        <v>290</v>
      </c>
      <c r="E345">
        <v>6</v>
      </c>
      <c r="F345">
        <v>1533</v>
      </c>
      <c r="G345">
        <v>54</v>
      </c>
      <c r="H345">
        <v>645</v>
      </c>
      <c r="I345">
        <v>57</v>
      </c>
      <c r="J345" t="str">
        <f t="shared" si="10"/>
        <v>40+</v>
      </c>
      <c r="K345" t="s">
        <v>15</v>
      </c>
      <c r="L345">
        <v>3</v>
      </c>
      <c r="M345" t="str">
        <f t="shared" si="11"/>
        <v>Yes</v>
      </c>
      <c r="N345" t="str">
        <f>IF(user_behavior_dataset!$D345&lt;60,"Low",
IF(user_behavior_dataset!$D345&lt;=180,"Medium","High"))</f>
        <v>High</v>
      </c>
      <c r="O345" t="str">
        <f>IF(user_behavior_dataset!$H345&gt;=1341,"Yes","No")</f>
        <v>No</v>
      </c>
      <c r="P345" t="str">
        <f>IF(user_behavior_dataset!$F345&gt;=2229,"Yes","No")</f>
        <v>No</v>
      </c>
    </row>
    <row r="346" spans="1:16" x14ac:dyDescent="0.3">
      <c r="A346">
        <v>345</v>
      </c>
      <c r="B346" t="s">
        <v>17</v>
      </c>
      <c r="C346" t="s">
        <v>18</v>
      </c>
      <c r="D346">
        <v>256</v>
      </c>
      <c r="E346">
        <v>5.8</v>
      </c>
      <c r="F346">
        <v>1309</v>
      </c>
      <c r="G346">
        <v>52</v>
      </c>
      <c r="H346">
        <v>840</v>
      </c>
      <c r="I346">
        <v>43</v>
      </c>
      <c r="J346" t="str">
        <f t="shared" si="10"/>
        <v>40+</v>
      </c>
      <c r="K346" t="s">
        <v>13</v>
      </c>
      <c r="L346">
        <v>3</v>
      </c>
      <c r="M346" t="str">
        <f t="shared" si="11"/>
        <v>Yes</v>
      </c>
      <c r="N346" t="str">
        <f>IF(user_behavior_dataset!$D346&lt;60,"Low",
IF(user_behavior_dataset!$D346&lt;=180,"Medium","High"))</f>
        <v>High</v>
      </c>
      <c r="O346" t="str">
        <f>IF(user_behavior_dataset!$H346&gt;=1341,"Yes","No")</f>
        <v>No</v>
      </c>
      <c r="P346" t="str">
        <f>IF(user_behavior_dataset!$F346&gt;=2229,"Yes","No")</f>
        <v>No</v>
      </c>
    </row>
    <row r="347" spans="1:16" x14ac:dyDescent="0.3">
      <c r="A347">
        <v>346</v>
      </c>
      <c r="B347" t="s">
        <v>17</v>
      </c>
      <c r="C347" t="s">
        <v>18</v>
      </c>
      <c r="D347">
        <v>308</v>
      </c>
      <c r="E347">
        <v>7.7</v>
      </c>
      <c r="F347">
        <v>1974</v>
      </c>
      <c r="G347">
        <v>73</v>
      </c>
      <c r="H347">
        <v>1431</v>
      </c>
      <c r="I347">
        <v>37</v>
      </c>
      <c r="J347" t="str">
        <f t="shared" si="10"/>
        <v>25–40</v>
      </c>
      <c r="K347" t="s">
        <v>15</v>
      </c>
      <c r="L347">
        <v>4</v>
      </c>
      <c r="M347" t="str">
        <f t="shared" si="11"/>
        <v>Yes</v>
      </c>
      <c r="N347" t="str">
        <f>IF(user_behavior_dataset!$D347&lt;60,"Low",
IF(user_behavior_dataset!$D347&lt;=180,"Medium","High"))</f>
        <v>High</v>
      </c>
      <c r="O347" t="str">
        <f>IF(user_behavior_dataset!$H347&gt;=1341,"Yes","No")</f>
        <v>Yes</v>
      </c>
      <c r="P347" t="str">
        <f>IF(user_behavior_dataset!$F347&gt;=2229,"Yes","No")</f>
        <v>No</v>
      </c>
    </row>
    <row r="348" spans="1:16" x14ac:dyDescent="0.3">
      <c r="A348">
        <v>347</v>
      </c>
      <c r="B348" t="s">
        <v>14</v>
      </c>
      <c r="C348" t="s">
        <v>12</v>
      </c>
      <c r="D348">
        <v>156</v>
      </c>
      <c r="E348">
        <v>3.3</v>
      </c>
      <c r="F348">
        <v>1020</v>
      </c>
      <c r="G348">
        <v>38</v>
      </c>
      <c r="H348">
        <v>447</v>
      </c>
      <c r="I348">
        <v>57</v>
      </c>
      <c r="J348" t="str">
        <f t="shared" si="10"/>
        <v>40+</v>
      </c>
      <c r="K348" t="s">
        <v>15</v>
      </c>
      <c r="L348">
        <v>2</v>
      </c>
      <c r="M348" t="str">
        <f t="shared" si="11"/>
        <v>Yes</v>
      </c>
      <c r="N348" t="str">
        <f>IF(user_behavior_dataset!$D348&lt;60,"Low",
IF(user_behavior_dataset!$D348&lt;=180,"Medium","High"))</f>
        <v>Medium</v>
      </c>
      <c r="O348" t="str">
        <f>IF(user_behavior_dataset!$H348&gt;=1341,"Yes","No")</f>
        <v>No</v>
      </c>
      <c r="P348" t="str">
        <f>IF(user_behavior_dataset!$F348&gt;=2229,"Yes","No")</f>
        <v>No</v>
      </c>
    </row>
    <row r="349" spans="1:16" x14ac:dyDescent="0.3">
      <c r="A349">
        <v>348</v>
      </c>
      <c r="B349" t="s">
        <v>19</v>
      </c>
      <c r="C349" t="s">
        <v>12</v>
      </c>
      <c r="D349">
        <v>62</v>
      </c>
      <c r="E349">
        <v>1.4</v>
      </c>
      <c r="F349">
        <v>542</v>
      </c>
      <c r="G349">
        <v>18</v>
      </c>
      <c r="H349">
        <v>266</v>
      </c>
      <c r="I349">
        <v>46</v>
      </c>
      <c r="J349" t="str">
        <f t="shared" si="10"/>
        <v>40+</v>
      </c>
      <c r="K349" t="s">
        <v>13</v>
      </c>
      <c r="L349">
        <v>1</v>
      </c>
      <c r="M349" t="str">
        <f t="shared" si="11"/>
        <v>Yes</v>
      </c>
      <c r="N349" t="str">
        <f>IF(user_behavior_dataset!$D349&lt;60,"Low",
IF(user_behavior_dataset!$D349&lt;=180,"Medium","High"))</f>
        <v>Medium</v>
      </c>
      <c r="O349" t="str">
        <f>IF(user_behavior_dataset!$H349&gt;=1341,"Yes","No")</f>
        <v>No</v>
      </c>
      <c r="P349" t="str">
        <f>IF(user_behavior_dataset!$F349&gt;=2229,"Yes","No")</f>
        <v>No</v>
      </c>
    </row>
    <row r="350" spans="1:16" x14ac:dyDescent="0.3">
      <c r="A350">
        <v>349</v>
      </c>
      <c r="B350" t="s">
        <v>11</v>
      </c>
      <c r="C350" t="s">
        <v>12</v>
      </c>
      <c r="D350">
        <v>156</v>
      </c>
      <c r="E350">
        <v>3.8</v>
      </c>
      <c r="F350">
        <v>866</v>
      </c>
      <c r="G350">
        <v>34</v>
      </c>
      <c r="H350">
        <v>510</v>
      </c>
      <c r="I350">
        <v>26</v>
      </c>
      <c r="J350" t="str">
        <f t="shared" si="10"/>
        <v>25–40</v>
      </c>
      <c r="K350" t="s">
        <v>13</v>
      </c>
      <c r="L350">
        <v>2</v>
      </c>
      <c r="M350" t="str">
        <f t="shared" si="11"/>
        <v>Yes</v>
      </c>
      <c r="N350" t="str">
        <f>IF(user_behavior_dataset!$D350&lt;60,"Low",
IF(user_behavior_dataset!$D350&lt;=180,"Medium","High"))</f>
        <v>Medium</v>
      </c>
      <c r="O350" t="str">
        <f>IF(user_behavior_dataset!$H350&gt;=1341,"Yes","No")</f>
        <v>No</v>
      </c>
      <c r="P350" t="str">
        <f>IF(user_behavior_dataset!$F350&gt;=2229,"Yes","No")</f>
        <v>No</v>
      </c>
    </row>
    <row r="351" spans="1:16" x14ac:dyDescent="0.3">
      <c r="A351">
        <v>350</v>
      </c>
      <c r="B351" t="s">
        <v>19</v>
      </c>
      <c r="C351" t="s">
        <v>12</v>
      </c>
      <c r="D351">
        <v>303</v>
      </c>
      <c r="E351">
        <v>7.4</v>
      </c>
      <c r="F351">
        <v>2314</v>
      </c>
      <c r="G351">
        <v>66</v>
      </c>
      <c r="H351">
        <v>1387</v>
      </c>
      <c r="I351">
        <v>34</v>
      </c>
      <c r="J351" t="str">
        <f t="shared" si="10"/>
        <v>25–40</v>
      </c>
      <c r="K351" t="s">
        <v>13</v>
      </c>
      <c r="L351">
        <v>4</v>
      </c>
      <c r="M351" t="str">
        <f t="shared" si="11"/>
        <v>Yes</v>
      </c>
      <c r="N351" t="str">
        <f>IF(user_behavior_dataset!$D351&lt;60,"Low",
IF(user_behavior_dataset!$D351&lt;=180,"Medium","High"))</f>
        <v>High</v>
      </c>
      <c r="O351" t="str">
        <f>IF(user_behavior_dataset!$H351&gt;=1341,"Yes","No")</f>
        <v>Yes</v>
      </c>
      <c r="P351" t="str">
        <f>IF(user_behavior_dataset!$F351&gt;=2229,"Yes","No")</f>
        <v>Yes</v>
      </c>
    </row>
    <row r="352" spans="1:16" x14ac:dyDescent="0.3">
      <c r="A352">
        <v>351</v>
      </c>
      <c r="B352" t="s">
        <v>19</v>
      </c>
      <c r="C352" t="s">
        <v>12</v>
      </c>
      <c r="D352">
        <v>463</v>
      </c>
      <c r="E352">
        <v>6.9</v>
      </c>
      <c r="F352">
        <v>2111</v>
      </c>
      <c r="G352">
        <v>73</v>
      </c>
      <c r="H352">
        <v>1463</v>
      </c>
      <c r="I352">
        <v>54</v>
      </c>
      <c r="J352" t="str">
        <f t="shared" si="10"/>
        <v>40+</v>
      </c>
      <c r="K352" t="s">
        <v>13</v>
      </c>
      <c r="L352">
        <v>4</v>
      </c>
      <c r="M352" t="str">
        <f t="shared" si="11"/>
        <v>Yes</v>
      </c>
      <c r="N352" t="str">
        <f>IF(user_behavior_dataset!$D352&lt;60,"Low",
IF(user_behavior_dataset!$D352&lt;=180,"Medium","High"))</f>
        <v>High</v>
      </c>
      <c r="O352" t="str">
        <f>IF(user_behavior_dataset!$H352&gt;=1341,"Yes","No")</f>
        <v>Yes</v>
      </c>
      <c r="P352" t="str">
        <f>IF(user_behavior_dataset!$F352&gt;=2229,"Yes","No")</f>
        <v>No</v>
      </c>
    </row>
    <row r="353" spans="1:16" x14ac:dyDescent="0.3">
      <c r="A353">
        <v>352</v>
      </c>
      <c r="B353" t="s">
        <v>11</v>
      </c>
      <c r="C353" t="s">
        <v>12</v>
      </c>
      <c r="D353">
        <v>60</v>
      </c>
      <c r="E353">
        <v>1.5</v>
      </c>
      <c r="F353">
        <v>593</v>
      </c>
      <c r="G353">
        <v>14</v>
      </c>
      <c r="H353">
        <v>281</v>
      </c>
      <c r="I353">
        <v>35</v>
      </c>
      <c r="J353" t="str">
        <f t="shared" si="10"/>
        <v>25–40</v>
      </c>
      <c r="K353" t="s">
        <v>15</v>
      </c>
      <c r="L353">
        <v>1</v>
      </c>
      <c r="M353" t="str">
        <f t="shared" si="11"/>
        <v>Yes</v>
      </c>
      <c r="N353" t="str">
        <f>IF(user_behavior_dataset!$D353&lt;60,"Low",
IF(user_behavior_dataset!$D353&lt;=180,"Medium","High"))</f>
        <v>Medium</v>
      </c>
      <c r="O353" t="str">
        <f>IF(user_behavior_dataset!$H353&gt;=1341,"Yes","No")</f>
        <v>No</v>
      </c>
      <c r="P353" t="str">
        <f>IF(user_behavior_dataset!$F353&gt;=2229,"Yes","No")</f>
        <v>No</v>
      </c>
    </row>
    <row r="354" spans="1:16" x14ac:dyDescent="0.3">
      <c r="A354">
        <v>353</v>
      </c>
      <c r="B354" t="s">
        <v>11</v>
      </c>
      <c r="C354" t="s">
        <v>12</v>
      </c>
      <c r="D354">
        <v>225</v>
      </c>
      <c r="E354">
        <v>4.5999999999999996</v>
      </c>
      <c r="F354">
        <v>1230</v>
      </c>
      <c r="G354">
        <v>52</v>
      </c>
      <c r="H354">
        <v>954</v>
      </c>
      <c r="I354">
        <v>20</v>
      </c>
      <c r="J354" t="str">
        <f t="shared" si="10"/>
        <v>&lt;25</v>
      </c>
      <c r="K354" t="s">
        <v>15</v>
      </c>
      <c r="L354">
        <v>3</v>
      </c>
      <c r="M354" t="str">
        <f t="shared" si="11"/>
        <v>Yes</v>
      </c>
      <c r="N354" t="str">
        <f>IF(user_behavior_dataset!$D354&lt;60,"Low",
IF(user_behavior_dataset!$D354&lt;=180,"Medium","High"))</f>
        <v>High</v>
      </c>
      <c r="O354" t="str">
        <f>IF(user_behavior_dataset!$H354&gt;=1341,"Yes","No")</f>
        <v>No</v>
      </c>
      <c r="P354" t="str">
        <f>IF(user_behavior_dataset!$F354&gt;=2229,"Yes","No")</f>
        <v>No</v>
      </c>
    </row>
    <row r="355" spans="1:16" x14ac:dyDescent="0.3">
      <c r="A355">
        <v>354</v>
      </c>
      <c r="B355" t="s">
        <v>19</v>
      </c>
      <c r="C355" t="s">
        <v>12</v>
      </c>
      <c r="D355">
        <v>379</v>
      </c>
      <c r="E355">
        <v>7.5</v>
      </c>
      <c r="F355">
        <v>1823</v>
      </c>
      <c r="G355">
        <v>68</v>
      </c>
      <c r="H355">
        <v>1075</v>
      </c>
      <c r="I355">
        <v>53</v>
      </c>
      <c r="J355" t="str">
        <f t="shared" si="10"/>
        <v>40+</v>
      </c>
      <c r="K355" t="s">
        <v>15</v>
      </c>
      <c r="L355">
        <v>4</v>
      </c>
      <c r="M355" t="str">
        <f t="shared" si="11"/>
        <v>Yes</v>
      </c>
      <c r="N355" t="str">
        <f>IF(user_behavior_dataset!$D355&lt;60,"Low",
IF(user_behavior_dataset!$D355&lt;=180,"Medium","High"))</f>
        <v>High</v>
      </c>
      <c r="O355" t="str">
        <f>IF(user_behavior_dataset!$H355&gt;=1341,"Yes","No")</f>
        <v>No</v>
      </c>
      <c r="P355" t="str">
        <f>IF(user_behavior_dataset!$F355&gt;=2229,"Yes","No")</f>
        <v>No</v>
      </c>
    </row>
    <row r="356" spans="1:16" x14ac:dyDescent="0.3">
      <c r="A356">
        <v>355</v>
      </c>
      <c r="B356" t="s">
        <v>14</v>
      </c>
      <c r="C356" t="s">
        <v>12</v>
      </c>
      <c r="D356">
        <v>53</v>
      </c>
      <c r="E356">
        <v>1.4</v>
      </c>
      <c r="F356">
        <v>455</v>
      </c>
      <c r="G356">
        <v>14</v>
      </c>
      <c r="H356">
        <v>106</v>
      </c>
      <c r="I356">
        <v>54</v>
      </c>
      <c r="J356" t="str">
        <f t="shared" si="10"/>
        <v>40+</v>
      </c>
      <c r="K356" t="s">
        <v>15</v>
      </c>
      <c r="L356">
        <v>1</v>
      </c>
      <c r="M356" t="str">
        <f t="shared" si="11"/>
        <v>No</v>
      </c>
      <c r="N356" t="str">
        <f>IF(user_behavior_dataset!$D356&lt;60,"Low",
IF(user_behavior_dataset!$D356&lt;=180,"Medium","High"))</f>
        <v>Low</v>
      </c>
      <c r="O356" t="str">
        <f>IF(user_behavior_dataset!$H356&gt;=1341,"Yes","No")</f>
        <v>No</v>
      </c>
      <c r="P356" t="str">
        <f>IF(user_behavior_dataset!$F356&gt;=2229,"Yes","No")</f>
        <v>No</v>
      </c>
    </row>
    <row r="357" spans="1:16" x14ac:dyDescent="0.3">
      <c r="A357">
        <v>356</v>
      </c>
      <c r="B357" t="s">
        <v>19</v>
      </c>
      <c r="C357" t="s">
        <v>12</v>
      </c>
      <c r="D357">
        <v>30</v>
      </c>
      <c r="E357">
        <v>1.9</v>
      </c>
      <c r="F357">
        <v>574</v>
      </c>
      <c r="G357">
        <v>19</v>
      </c>
      <c r="H357">
        <v>287</v>
      </c>
      <c r="I357">
        <v>45</v>
      </c>
      <c r="J357" t="str">
        <f t="shared" si="10"/>
        <v>40+</v>
      </c>
      <c r="K357" t="s">
        <v>13</v>
      </c>
      <c r="L357">
        <v>1</v>
      </c>
      <c r="M357" t="str">
        <f t="shared" si="11"/>
        <v>No</v>
      </c>
      <c r="N357" t="str">
        <f>IF(user_behavior_dataset!$D357&lt;60,"Low",
IF(user_behavior_dataset!$D357&lt;=180,"Medium","High"))</f>
        <v>Low</v>
      </c>
      <c r="O357" t="str">
        <f>IF(user_behavior_dataset!$H357&gt;=1341,"Yes","No")</f>
        <v>No</v>
      </c>
      <c r="P357" t="str">
        <f>IF(user_behavior_dataset!$F357&gt;=2229,"Yes","No")</f>
        <v>No</v>
      </c>
    </row>
    <row r="358" spans="1:16" x14ac:dyDescent="0.3">
      <c r="A358">
        <v>357</v>
      </c>
      <c r="B358" t="s">
        <v>17</v>
      </c>
      <c r="C358" t="s">
        <v>18</v>
      </c>
      <c r="D358">
        <v>291</v>
      </c>
      <c r="E358">
        <v>4.0999999999999996</v>
      </c>
      <c r="F358">
        <v>1326</v>
      </c>
      <c r="G358">
        <v>51</v>
      </c>
      <c r="H358">
        <v>905</v>
      </c>
      <c r="I358">
        <v>55</v>
      </c>
      <c r="J358" t="str">
        <f t="shared" si="10"/>
        <v>40+</v>
      </c>
      <c r="K358" t="s">
        <v>15</v>
      </c>
      <c r="L358">
        <v>3</v>
      </c>
      <c r="M358" t="str">
        <f t="shared" si="11"/>
        <v>Yes</v>
      </c>
      <c r="N358" t="str">
        <f>IF(user_behavior_dataset!$D358&lt;60,"Low",
IF(user_behavior_dataset!$D358&lt;=180,"Medium","High"))</f>
        <v>High</v>
      </c>
      <c r="O358" t="str">
        <f>IF(user_behavior_dataset!$H358&gt;=1341,"Yes","No")</f>
        <v>No</v>
      </c>
      <c r="P358" t="str">
        <f>IF(user_behavior_dataset!$F358&gt;=2229,"Yes","No")</f>
        <v>No</v>
      </c>
    </row>
    <row r="359" spans="1:16" x14ac:dyDescent="0.3">
      <c r="A359">
        <v>358</v>
      </c>
      <c r="B359" t="s">
        <v>17</v>
      </c>
      <c r="C359" t="s">
        <v>18</v>
      </c>
      <c r="D359">
        <v>488</v>
      </c>
      <c r="E359">
        <v>9.5</v>
      </c>
      <c r="F359">
        <v>2840</v>
      </c>
      <c r="G359">
        <v>92</v>
      </c>
      <c r="H359">
        <v>1986</v>
      </c>
      <c r="I359">
        <v>48</v>
      </c>
      <c r="J359" t="str">
        <f t="shared" si="10"/>
        <v>40+</v>
      </c>
      <c r="K359" t="s">
        <v>15</v>
      </c>
      <c r="L359">
        <v>5</v>
      </c>
      <c r="M359" t="str">
        <f t="shared" si="11"/>
        <v>Yes</v>
      </c>
      <c r="N359" t="str">
        <f>IF(user_behavior_dataset!$D359&lt;60,"Low",
IF(user_behavior_dataset!$D359&lt;=180,"Medium","High"))</f>
        <v>High</v>
      </c>
      <c r="O359" t="str">
        <f>IF(user_behavior_dataset!$H359&gt;=1341,"Yes","No")</f>
        <v>Yes</v>
      </c>
      <c r="P359" t="str">
        <f>IF(user_behavior_dataset!$F359&gt;=2229,"Yes","No")</f>
        <v>Yes</v>
      </c>
    </row>
    <row r="360" spans="1:16" x14ac:dyDescent="0.3">
      <c r="A360">
        <v>359</v>
      </c>
      <c r="B360" t="s">
        <v>11</v>
      </c>
      <c r="C360" t="s">
        <v>12</v>
      </c>
      <c r="D360">
        <v>74</v>
      </c>
      <c r="E360">
        <v>2</v>
      </c>
      <c r="F360">
        <v>366</v>
      </c>
      <c r="G360">
        <v>13</v>
      </c>
      <c r="H360">
        <v>253</v>
      </c>
      <c r="I360">
        <v>44</v>
      </c>
      <c r="J360" t="str">
        <f t="shared" si="10"/>
        <v>40+</v>
      </c>
      <c r="K360" t="s">
        <v>15</v>
      </c>
      <c r="L360">
        <v>1</v>
      </c>
      <c r="M360" t="str">
        <f t="shared" si="11"/>
        <v>Yes</v>
      </c>
      <c r="N360" t="str">
        <f>IF(user_behavior_dataset!$D360&lt;60,"Low",
IF(user_behavior_dataset!$D360&lt;=180,"Medium","High"))</f>
        <v>Medium</v>
      </c>
      <c r="O360" t="str">
        <f>IF(user_behavior_dataset!$H360&gt;=1341,"Yes","No")</f>
        <v>No</v>
      </c>
      <c r="P360" t="str">
        <f>IF(user_behavior_dataset!$F360&gt;=2229,"Yes","No")</f>
        <v>No</v>
      </c>
    </row>
    <row r="361" spans="1:16" x14ac:dyDescent="0.3">
      <c r="A361">
        <v>360</v>
      </c>
      <c r="B361" t="s">
        <v>19</v>
      </c>
      <c r="C361" t="s">
        <v>12</v>
      </c>
      <c r="D361">
        <v>230</v>
      </c>
      <c r="E361">
        <v>4.5999999999999996</v>
      </c>
      <c r="F361">
        <v>1325</v>
      </c>
      <c r="G361">
        <v>55</v>
      </c>
      <c r="H361">
        <v>845</v>
      </c>
      <c r="I361">
        <v>54</v>
      </c>
      <c r="J361" t="str">
        <f t="shared" si="10"/>
        <v>40+</v>
      </c>
      <c r="K361" t="s">
        <v>15</v>
      </c>
      <c r="L361">
        <v>3</v>
      </c>
      <c r="M361" t="str">
        <f t="shared" si="11"/>
        <v>Yes</v>
      </c>
      <c r="N361" t="str">
        <f>IF(user_behavior_dataset!$D361&lt;60,"Low",
IF(user_behavior_dataset!$D361&lt;=180,"Medium","High"))</f>
        <v>High</v>
      </c>
      <c r="O361" t="str">
        <f>IF(user_behavior_dataset!$H361&gt;=1341,"Yes","No")</f>
        <v>No</v>
      </c>
      <c r="P361" t="str">
        <f>IF(user_behavior_dataset!$F361&gt;=2229,"Yes","No")</f>
        <v>No</v>
      </c>
    </row>
    <row r="362" spans="1:16" x14ac:dyDescent="0.3">
      <c r="A362">
        <v>361</v>
      </c>
      <c r="B362" t="s">
        <v>19</v>
      </c>
      <c r="C362" t="s">
        <v>12</v>
      </c>
      <c r="D362">
        <v>517</v>
      </c>
      <c r="E362">
        <v>11.8</v>
      </c>
      <c r="F362">
        <v>2435</v>
      </c>
      <c r="G362">
        <v>86</v>
      </c>
      <c r="H362">
        <v>2208</v>
      </c>
      <c r="I362">
        <v>26</v>
      </c>
      <c r="J362" t="str">
        <f t="shared" si="10"/>
        <v>25–40</v>
      </c>
      <c r="K362" t="s">
        <v>13</v>
      </c>
      <c r="L362">
        <v>5</v>
      </c>
      <c r="M362" t="str">
        <f t="shared" si="11"/>
        <v>Yes</v>
      </c>
      <c r="N362" t="str">
        <f>IF(user_behavior_dataset!$D362&lt;60,"Low",
IF(user_behavior_dataset!$D362&lt;=180,"Medium","High"))</f>
        <v>High</v>
      </c>
      <c r="O362" t="str">
        <f>IF(user_behavior_dataset!$H362&gt;=1341,"Yes","No")</f>
        <v>Yes</v>
      </c>
      <c r="P362" t="str">
        <f>IF(user_behavior_dataset!$F362&gt;=2229,"Yes","No")</f>
        <v>Yes</v>
      </c>
    </row>
    <row r="363" spans="1:16" x14ac:dyDescent="0.3">
      <c r="A363">
        <v>362</v>
      </c>
      <c r="B363" t="s">
        <v>14</v>
      </c>
      <c r="C363" t="s">
        <v>12</v>
      </c>
      <c r="D363">
        <v>557</v>
      </c>
      <c r="E363">
        <v>10.4</v>
      </c>
      <c r="F363">
        <v>2900</v>
      </c>
      <c r="G363">
        <v>97</v>
      </c>
      <c r="H363">
        <v>1609</v>
      </c>
      <c r="I363">
        <v>22</v>
      </c>
      <c r="J363" t="str">
        <f t="shared" si="10"/>
        <v>&lt;25</v>
      </c>
      <c r="K363" t="s">
        <v>13</v>
      </c>
      <c r="L363">
        <v>5</v>
      </c>
      <c r="M363" t="str">
        <f t="shared" si="11"/>
        <v>Yes</v>
      </c>
      <c r="N363" t="str">
        <f>IF(user_behavior_dataset!$D363&lt;60,"Low",
IF(user_behavior_dataset!$D363&lt;=180,"Medium","High"))</f>
        <v>High</v>
      </c>
      <c r="O363" t="str">
        <f>IF(user_behavior_dataset!$H363&gt;=1341,"Yes","No")</f>
        <v>Yes</v>
      </c>
      <c r="P363" t="str">
        <f>IF(user_behavior_dataset!$F363&gt;=2229,"Yes","No")</f>
        <v>Yes</v>
      </c>
    </row>
    <row r="364" spans="1:16" x14ac:dyDescent="0.3">
      <c r="A364">
        <v>363</v>
      </c>
      <c r="B364" t="s">
        <v>16</v>
      </c>
      <c r="C364" t="s">
        <v>12</v>
      </c>
      <c r="D364">
        <v>78</v>
      </c>
      <c r="E364">
        <v>1.5</v>
      </c>
      <c r="F364">
        <v>341</v>
      </c>
      <c r="G364">
        <v>11</v>
      </c>
      <c r="H364">
        <v>259</v>
      </c>
      <c r="I364">
        <v>38</v>
      </c>
      <c r="J364" t="str">
        <f t="shared" si="10"/>
        <v>25–40</v>
      </c>
      <c r="K364" t="s">
        <v>15</v>
      </c>
      <c r="L364">
        <v>1</v>
      </c>
      <c r="M364" t="str">
        <f t="shared" si="11"/>
        <v>Yes</v>
      </c>
      <c r="N364" t="str">
        <f>IF(user_behavior_dataset!$D364&lt;60,"Low",
IF(user_behavior_dataset!$D364&lt;=180,"Medium","High"))</f>
        <v>Medium</v>
      </c>
      <c r="O364" t="str">
        <f>IF(user_behavior_dataset!$H364&gt;=1341,"Yes","No")</f>
        <v>No</v>
      </c>
      <c r="P364" t="str">
        <f>IF(user_behavior_dataset!$F364&gt;=2229,"Yes","No")</f>
        <v>No</v>
      </c>
    </row>
    <row r="365" spans="1:16" x14ac:dyDescent="0.3">
      <c r="A365">
        <v>364</v>
      </c>
      <c r="B365" t="s">
        <v>17</v>
      </c>
      <c r="C365" t="s">
        <v>18</v>
      </c>
      <c r="D365">
        <v>321</v>
      </c>
      <c r="E365">
        <v>7.9</v>
      </c>
      <c r="F365">
        <v>2159</v>
      </c>
      <c r="G365">
        <v>64</v>
      </c>
      <c r="H365">
        <v>1499</v>
      </c>
      <c r="I365">
        <v>45</v>
      </c>
      <c r="J365" t="str">
        <f t="shared" si="10"/>
        <v>40+</v>
      </c>
      <c r="K365" t="s">
        <v>13</v>
      </c>
      <c r="L365">
        <v>4</v>
      </c>
      <c r="M365" t="str">
        <f t="shared" si="11"/>
        <v>Yes</v>
      </c>
      <c r="N365" t="str">
        <f>IF(user_behavior_dataset!$D365&lt;60,"Low",
IF(user_behavior_dataset!$D365&lt;=180,"Medium","High"))</f>
        <v>High</v>
      </c>
      <c r="O365" t="str">
        <f>IF(user_behavior_dataset!$H365&gt;=1341,"Yes","No")</f>
        <v>Yes</v>
      </c>
      <c r="P365" t="str">
        <f>IF(user_behavior_dataset!$F365&gt;=2229,"Yes","No")</f>
        <v>No</v>
      </c>
    </row>
    <row r="366" spans="1:16" x14ac:dyDescent="0.3">
      <c r="A366">
        <v>365</v>
      </c>
      <c r="B366" t="s">
        <v>16</v>
      </c>
      <c r="C366" t="s">
        <v>12</v>
      </c>
      <c r="D366">
        <v>579</v>
      </c>
      <c r="E366">
        <v>8.6</v>
      </c>
      <c r="F366">
        <v>2539</v>
      </c>
      <c r="G366">
        <v>84</v>
      </c>
      <c r="H366">
        <v>1935</v>
      </c>
      <c r="I366">
        <v>34</v>
      </c>
      <c r="J366" t="str">
        <f t="shared" si="10"/>
        <v>25–40</v>
      </c>
      <c r="K366" t="s">
        <v>13</v>
      </c>
      <c r="L366">
        <v>5</v>
      </c>
      <c r="M366" t="str">
        <f t="shared" si="11"/>
        <v>Yes</v>
      </c>
      <c r="N366" t="str">
        <f>IF(user_behavior_dataset!$D366&lt;60,"Low",
IF(user_behavior_dataset!$D366&lt;=180,"Medium","High"))</f>
        <v>High</v>
      </c>
      <c r="O366" t="str">
        <f>IF(user_behavior_dataset!$H366&gt;=1341,"Yes","No")</f>
        <v>Yes</v>
      </c>
      <c r="P366" t="str">
        <f>IF(user_behavior_dataset!$F366&gt;=2229,"Yes","No")</f>
        <v>Yes</v>
      </c>
    </row>
    <row r="367" spans="1:16" x14ac:dyDescent="0.3">
      <c r="A367">
        <v>366</v>
      </c>
      <c r="B367" t="s">
        <v>14</v>
      </c>
      <c r="C367" t="s">
        <v>12</v>
      </c>
      <c r="D367">
        <v>382</v>
      </c>
      <c r="E367">
        <v>7.2</v>
      </c>
      <c r="F367">
        <v>1965</v>
      </c>
      <c r="G367">
        <v>67</v>
      </c>
      <c r="H367">
        <v>1341</v>
      </c>
      <c r="I367">
        <v>22</v>
      </c>
      <c r="J367" t="str">
        <f t="shared" si="10"/>
        <v>&lt;25</v>
      </c>
      <c r="K367" t="s">
        <v>13</v>
      </c>
      <c r="L367">
        <v>4</v>
      </c>
      <c r="M367" t="str">
        <f t="shared" si="11"/>
        <v>Yes</v>
      </c>
      <c r="N367" t="str">
        <f>IF(user_behavior_dataset!$D367&lt;60,"Low",
IF(user_behavior_dataset!$D367&lt;=180,"Medium","High"))</f>
        <v>High</v>
      </c>
      <c r="O367" t="str">
        <f>IF(user_behavior_dataset!$H367&gt;=1341,"Yes","No")</f>
        <v>Yes</v>
      </c>
      <c r="P367" t="str">
        <f>IF(user_behavior_dataset!$F367&gt;=2229,"Yes","No")</f>
        <v>No</v>
      </c>
    </row>
    <row r="368" spans="1:16" x14ac:dyDescent="0.3">
      <c r="A368">
        <v>367</v>
      </c>
      <c r="B368" t="s">
        <v>16</v>
      </c>
      <c r="C368" t="s">
        <v>12</v>
      </c>
      <c r="D368">
        <v>516</v>
      </c>
      <c r="E368">
        <v>11.6</v>
      </c>
      <c r="F368">
        <v>2464</v>
      </c>
      <c r="G368">
        <v>82</v>
      </c>
      <c r="H368">
        <v>1767</v>
      </c>
      <c r="I368">
        <v>29</v>
      </c>
      <c r="J368" t="str">
        <f t="shared" si="10"/>
        <v>25–40</v>
      </c>
      <c r="K368" t="s">
        <v>15</v>
      </c>
      <c r="L368">
        <v>5</v>
      </c>
      <c r="M368" t="str">
        <f t="shared" si="11"/>
        <v>Yes</v>
      </c>
      <c r="N368" t="str">
        <f>IF(user_behavior_dataset!$D368&lt;60,"Low",
IF(user_behavior_dataset!$D368&lt;=180,"Medium","High"))</f>
        <v>High</v>
      </c>
      <c r="O368" t="str">
        <f>IF(user_behavior_dataset!$H368&gt;=1341,"Yes","No")</f>
        <v>Yes</v>
      </c>
      <c r="P368" t="str">
        <f>IF(user_behavior_dataset!$F368&gt;=2229,"Yes","No")</f>
        <v>Yes</v>
      </c>
    </row>
    <row r="369" spans="1:16" x14ac:dyDescent="0.3">
      <c r="A369">
        <v>368</v>
      </c>
      <c r="B369" t="s">
        <v>14</v>
      </c>
      <c r="C369" t="s">
        <v>12</v>
      </c>
      <c r="D369">
        <v>598</v>
      </c>
      <c r="E369">
        <v>11.2</v>
      </c>
      <c r="F369">
        <v>2876</v>
      </c>
      <c r="G369">
        <v>85</v>
      </c>
      <c r="H369">
        <v>2477</v>
      </c>
      <c r="I369">
        <v>58</v>
      </c>
      <c r="J369" t="str">
        <f t="shared" si="10"/>
        <v>40+</v>
      </c>
      <c r="K369" t="s">
        <v>15</v>
      </c>
      <c r="L369">
        <v>5</v>
      </c>
      <c r="M369" t="str">
        <f t="shared" si="11"/>
        <v>Yes</v>
      </c>
      <c r="N369" t="str">
        <f>IF(user_behavior_dataset!$D369&lt;60,"Low",
IF(user_behavior_dataset!$D369&lt;=180,"Medium","High"))</f>
        <v>High</v>
      </c>
      <c r="O369" t="str">
        <f>IF(user_behavior_dataset!$H369&gt;=1341,"Yes","No")</f>
        <v>Yes</v>
      </c>
      <c r="P369" t="str">
        <f>IF(user_behavior_dataset!$F369&gt;=2229,"Yes","No")</f>
        <v>Yes</v>
      </c>
    </row>
    <row r="370" spans="1:16" x14ac:dyDescent="0.3">
      <c r="A370">
        <v>369</v>
      </c>
      <c r="B370" t="s">
        <v>14</v>
      </c>
      <c r="C370" t="s">
        <v>12</v>
      </c>
      <c r="D370">
        <v>102</v>
      </c>
      <c r="E370">
        <v>3.9</v>
      </c>
      <c r="F370">
        <v>747</v>
      </c>
      <c r="G370">
        <v>36</v>
      </c>
      <c r="H370">
        <v>408</v>
      </c>
      <c r="I370">
        <v>49</v>
      </c>
      <c r="J370" t="str">
        <f t="shared" si="10"/>
        <v>40+</v>
      </c>
      <c r="K370" t="s">
        <v>15</v>
      </c>
      <c r="L370">
        <v>2</v>
      </c>
      <c r="M370" t="str">
        <f t="shared" si="11"/>
        <v>Yes</v>
      </c>
      <c r="N370" t="str">
        <f>IF(user_behavior_dataset!$D370&lt;60,"Low",
IF(user_behavior_dataset!$D370&lt;=180,"Medium","High"))</f>
        <v>Medium</v>
      </c>
      <c r="O370" t="str">
        <f>IF(user_behavior_dataset!$H370&gt;=1341,"Yes","No")</f>
        <v>No</v>
      </c>
      <c r="P370" t="str">
        <f>IF(user_behavior_dataset!$F370&gt;=2229,"Yes","No")</f>
        <v>No</v>
      </c>
    </row>
    <row r="371" spans="1:16" x14ac:dyDescent="0.3">
      <c r="A371">
        <v>370</v>
      </c>
      <c r="B371" t="s">
        <v>17</v>
      </c>
      <c r="C371" t="s">
        <v>18</v>
      </c>
      <c r="D371">
        <v>165</v>
      </c>
      <c r="E371">
        <v>2.4</v>
      </c>
      <c r="F371">
        <v>816</v>
      </c>
      <c r="G371">
        <v>35</v>
      </c>
      <c r="H371">
        <v>503</v>
      </c>
      <c r="I371">
        <v>34</v>
      </c>
      <c r="J371" t="str">
        <f t="shared" si="10"/>
        <v>25–40</v>
      </c>
      <c r="K371" t="s">
        <v>13</v>
      </c>
      <c r="L371">
        <v>2</v>
      </c>
      <c r="M371" t="str">
        <f t="shared" si="11"/>
        <v>Yes</v>
      </c>
      <c r="N371" t="str">
        <f>IF(user_behavior_dataset!$D371&lt;60,"Low",
IF(user_behavior_dataset!$D371&lt;=180,"Medium","High"))</f>
        <v>Medium</v>
      </c>
      <c r="O371" t="str">
        <f>IF(user_behavior_dataset!$H371&gt;=1341,"Yes","No")</f>
        <v>No</v>
      </c>
      <c r="P371" t="str">
        <f>IF(user_behavior_dataset!$F371&gt;=2229,"Yes","No")</f>
        <v>No</v>
      </c>
    </row>
    <row r="372" spans="1:16" x14ac:dyDescent="0.3">
      <c r="A372">
        <v>371</v>
      </c>
      <c r="B372" t="s">
        <v>17</v>
      </c>
      <c r="C372" t="s">
        <v>18</v>
      </c>
      <c r="D372">
        <v>558</v>
      </c>
      <c r="E372">
        <v>9.8000000000000007</v>
      </c>
      <c r="F372">
        <v>2765</v>
      </c>
      <c r="G372">
        <v>83</v>
      </c>
      <c r="H372">
        <v>1548</v>
      </c>
      <c r="I372">
        <v>25</v>
      </c>
      <c r="J372" t="str">
        <f t="shared" si="10"/>
        <v>25–40</v>
      </c>
      <c r="K372" t="s">
        <v>15</v>
      </c>
      <c r="L372">
        <v>5</v>
      </c>
      <c r="M372" t="str">
        <f t="shared" si="11"/>
        <v>Yes</v>
      </c>
      <c r="N372" t="str">
        <f>IF(user_behavior_dataset!$D372&lt;60,"Low",
IF(user_behavior_dataset!$D372&lt;=180,"Medium","High"))</f>
        <v>High</v>
      </c>
      <c r="O372" t="str">
        <f>IF(user_behavior_dataset!$H372&gt;=1341,"Yes","No")</f>
        <v>Yes</v>
      </c>
      <c r="P372" t="str">
        <f>IF(user_behavior_dataset!$F372&gt;=2229,"Yes","No")</f>
        <v>Yes</v>
      </c>
    </row>
    <row r="373" spans="1:16" x14ac:dyDescent="0.3">
      <c r="A373">
        <v>372</v>
      </c>
      <c r="B373" t="s">
        <v>11</v>
      </c>
      <c r="C373" t="s">
        <v>12</v>
      </c>
      <c r="D373">
        <v>561</v>
      </c>
      <c r="E373">
        <v>10.6</v>
      </c>
      <c r="F373">
        <v>2547</v>
      </c>
      <c r="G373">
        <v>86</v>
      </c>
      <c r="H373">
        <v>1823</v>
      </c>
      <c r="I373">
        <v>22</v>
      </c>
      <c r="J373" t="str">
        <f t="shared" si="10"/>
        <v>&lt;25</v>
      </c>
      <c r="K373" t="s">
        <v>13</v>
      </c>
      <c r="L373">
        <v>5</v>
      </c>
      <c r="M373" t="str">
        <f t="shared" si="11"/>
        <v>Yes</v>
      </c>
      <c r="N373" t="str">
        <f>IF(user_behavior_dataset!$D373&lt;60,"Low",
IF(user_behavior_dataset!$D373&lt;=180,"Medium","High"))</f>
        <v>High</v>
      </c>
      <c r="O373" t="str">
        <f>IF(user_behavior_dataset!$H373&gt;=1341,"Yes","No")</f>
        <v>Yes</v>
      </c>
      <c r="P373" t="str">
        <f>IF(user_behavior_dataset!$F373&gt;=2229,"Yes","No")</f>
        <v>Yes</v>
      </c>
    </row>
    <row r="374" spans="1:16" x14ac:dyDescent="0.3">
      <c r="A374">
        <v>373</v>
      </c>
      <c r="B374" t="s">
        <v>19</v>
      </c>
      <c r="C374" t="s">
        <v>12</v>
      </c>
      <c r="D374">
        <v>511</v>
      </c>
      <c r="E374">
        <v>10.9</v>
      </c>
      <c r="F374">
        <v>2514</v>
      </c>
      <c r="G374">
        <v>91</v>
      </c>
      <c r="H374">
        <v>2335</v>
      </c>
      <c r="I374">
        <v>59</v>
      </c>
      <c r="J374" t="str">
        <f t="shared" si="10"/>
        <v>40+</v>
      </c>
      <c r="K374" t="s">
        <v>15</v>
      </c>
      <c r="L374">
        <v>5</v>
      </c>
      <c r="M374" t="str">
        <f t="shared" si="11"/>
        <v>Yes</v>
      </c>
      <c r="N374" t="str">
        <f>IF(user_behavior_dataset!$D374&lt;60,"Low",
IF(user_behavior_dataset!$D374&lt;=180,"Medium","High"))</f>
        <v>High</v>
      </c>
      <c r="O374" t="str">
        <f>IF(user_behavior_dataset!$H374&gt;=1341,"Yes","No")</f>
        <v>Yes</v>
      </c>
      <c r="P374" t="str">
        <f>IF(user_behavior_dataset!$F374&gt;=2229,"Yes","No")</f>
        <v>Yes</v>
      </c>
    </row>
    <row r="375" spans="1:16" x14ac:dyDescent="0.3">
      <c r="A375">
        <v>374</v>
      </c>
      <c r="B375" t="s">
        <v>11</v>
      </c>
      <c r="C375" t="s">
        <v>12</v>
      </c>
      <c r="D375">
        <v>560</v>
      </c>
      <c r="E375">
        <v>11.3</v>
      </c>
      <c r="F375">
        <v>2947</v>
      </c>
      <c r="G375">
        <v>95</v>
      </c>
      <c r="H375">
        <v>1663</v>
      </c>
      <c r="I375">
        <v>25</v>
      </c>
      <c r="J375" t="str">
        <f t="shared" si="10"/>
        <v>25–40</v>
      </c>
      <c r="K375" t="s">
        <v>15</v>
      </c>
      <c r="L375">
        <v>5</v>
      </c>
      <c r="M375" t="str">
        <f t="shared" si="11"/>
        <v>Yes</v>
      </c>
      <c r="N375" t="str">
        <f>IF(user_behavior_dataset!$D375&lt;60,"Low",
IF(user_behavior_dataset!$D375&lt;=180,"Medium","High"))</f>
        <v>High</v>
      </c>
      <c r="O375" t="str">
        <f>IF(user_behavior_dataset!$H375&gt;=1341,"Yes","No")</f>
        <v>Yes</v>
      </c>
      <c r="P375" t="str">
        <f>IF(user_behavior_dataset!$F375&gt;=2229,"Yes","No")</f>
        <v>Yes</v>
      </c>
    </row>
    <row r="376" spans="1:16" x14ac:dyDescent="0.3">
      <c r="A376">
        <v>375</v>
      </c>
      <c r="B376" t="s">
        <v>14</v>
      </c>
      <c r="C376" t="s">
        <v>12</v>
      </c>
      <c r="D376">
        <v>69</v>
      </c>
      <c r="E376">
        <v>1.3</v>
      </c>
      <c r="F376">
        <v>434</v>
      </c>
      <c r="G376">
        <v>12</v>
      </c>
      <c r="H376">
        <v>164</v>
      </c>
      <c r="I376">
        <v>42</v>
      </c>
      <c r="J376" t="str">
        <f t="shared" si="10"/>
        <v>40+</v>
      </c>
      <c r="K376" t="s">
        <v>13</v>
      </c>
      <c r="L376">
        <v>1</v>
      </c>
      <c r="M376" t="str">
        <f t="shared" si="11"/>
        <v>Yes</v>
      </c>
      <c r="N376" t="str">
        <f>IF(user_behavior_dataset!$D376&lt;60,"Low",
IF(user_behavior_dataset!$D376&lt;=180,"Medium","High"))</f>
        <v>Medium</v>
      </c>
      <c r="O376" t="str">
        <f>IF(user_behavior_dataset!$H376&gt;=1341,"Yes","No")</f>
        <v>No</v>
      </c>
      <c r="P376" t="str">
        <f>IF(user_behavior_dataset!$F376&gt;=2229,"Yes","No")</f>
        <v>No</v>
      </c>
    </row>
    <row r="377" spans="1:16" x14ac:dyDescent="0.3">
      <c r="A377">
        <v>376</v>
      </c>
      <c r="B377" t="s">
        <v>14</v>
      </c>
      <c r="C377" t="s">
        <v>12</v>
      </c>
      <c r="D377">
        <v>44</v>
      </c>
      <c r="E377">
        <v>1.1000000000000001</v>
      </c>
      <c r="F377">
        <v>531</v>
      </c>
      <c r="G377">
        <v>17</v>
      </c>
      <c r="H377">
        <v>232</v>
      </c>
      <c r="I377">
        <v>26</v>
      </c>
      <c r="J377" t="str">
        <f t="shared" si="10"/>
        <v>25–40</v>
      </c>
      <c r="K377" t="s">
        <v>13</v>
      </c>
      <c r="L377">
        <v>1</v>
      </c>
      <c r="M377" t="str">
        <f t="shared" si="11"/>
        <v>No</v>
      </c>
      <c r="N377" t="str">
        <f>IF(user_behavior_dataset!$D377&lt;60,"Low",
IF(user_behavior_dataset!$D377&lt;=180,"Medium","High"))</f>
        <v>Low</v>
      </c>
      <c r="O377" t="str">
        <f>IF(user_behavior_dataset!$H377&gt;=1341,"Yes","No")</f>
        <v>No</v>
      </c>
      <c r="P377" t="str">
        <f>IF(user_behavior_dataset!$F377&gt;=2229,"Yes","No")</f>
        <v>No</v>
      </c>
    </row>
    <row r="378" spans="1:16" x14ac:dyDescent="0.3">
      <c r="A378">
        <v>377</v>
      </c>
      <c r="B378" t="s">
        <v>17</v>
      </c>
      <c r="C378" t="s">
        <v>18</v>
      </c>
      <c r="D378">
        <v>65</v>
      </c>
      <c r="E378">
        <v>1.7</v>
      </c>
      <c r="F378">
        <v>490</v>
      </c>
      <c r="G378">
        <v>17</v>
      </c>
      <c r="H378">
        <v>122</v>
      </c>
      <c r="I378">
        <v>51</v>
      </c>
      <c r="J378" t="str">
        <f t="shared" si="10"/>
        <v>40+</v>
      </c>
      <c r="K378" t="s">
        <v>15</v>
      </c>
      <c r="L378">
        <v>1</v>
      </c>
      <c r="M378" t="str">
        <f t="shared" si="11"/>
        <v>Yes</v>
      </c>
      <c r="N378" t="str">
        <f>IF(user_behavior_dataset!$D378&lt;60,"Low",
IF(user_behavior_dataset!$D378&lt;=180,"Medium","High"))</f>
        <v>Medium</v>
      </c>
      <c r="O378" t="str">
        <f>IF(user_behavior_dataset!$H378&gt;=1341,"Yes","No")</f>
        <v>No</v>
      </c>
      <c r="P378" t="str">
        <f>IF(user_behavior_dataset!$F378&gt;=2229,"Yes","No")</f>
        <v>No</v>
      </c>
    </row>
    <row r="379" spans="1:16" x14ac:dyDescent="0.3">
      <c r="A379">
        <v>378</v>
      </c>
      <c r="B379" t="s">
        <v>11</v>
      </c>
      <c r="C379" t="s">
        <v>12</v>
      </c>
      <c r="D379">
        <v>458</v>
      </c>
      <c r="E379">
        <v>6</v>
      </c>
      <c r="F379">
        <v>1875</v>
      </c>
      <c r="G379">
        <v>63</v>
      </c>
      <c r="H379">
        <v>1072</v>
      </c>
      <c r="I379">
        <v>31</v>
      </c>
      <c r="J379" t="str">
        <f t="shared" si="10"/>
        <v>25–40</v>
      </c>
      <c r="K379" t="s">
        <v>15</v>
      </c>
      <c r="L379">
        <v>4</v>
      </c>
      <c r="M379" t="str">
        <f t="shared" si="11"/>
        <v>Yes</v>
      </c>
      <c r="N379" t="str">
        <f>IF(user_behavior_dataset!$D379&lt;60,"Low",
IF(user_behavior_dataset!$D379&lt;=180,"Medium","High"))</f>
        <v>High</v>
      </c>
      <c r="O379" t="str">
        <f>IF(user_behavior_dataset!$H379&gt;=1341,"Yes","No")</f>
        <v>No</v>
      </c>
      <c r="P379" t="str">
        <f>IF(user_behavior_dataset!$F379&gt;=2229,"Yes","No")</f>
        <v>No</v>
      </c>
    </row>
    <row r="380" spans="1:16" x14ac:dyDescent="0.3">
      <c r="A380">
        <v>379</v>
      </c>
      <c r="B380" t="s">
        <v>19</v>
      </c>
      <c r="C380" t="s">
        <v>12</v>
      </c>
      <c r="D380">
        <v>525</v>
      </c>
      <c r="E380">
        <v>10.8</v>
      </c>
      <c r="F380">
        <v>2445</v>
      </c>
      <c r="G380">
        <v>99</v>
      </c>
      <c r="H380">
        <v>1623</v>
      </c>
      <c r="I380">
        <v>57</v>
      </c>
      <c r="J380" t="str">
        <f t="shared" si="10"/>
        <v>40+</v>
      </c>
      <c r="K380" t="s">
        <v>13</v>
      </c>
      <c r="L380">
        <v>5</v>
      </c>
      <c r="M380" t="str">
        <f t="shared" si="11"/>
        <v>Yes</v>
      </c>
      <c r="N380" t="str">
        <f>IF(user_behavior_dataset!$D380&lt;60,"Low",
IF(user_behavior_dataset!$D380&lt;=180,"Medium","High"))</f>
        <v>High</v>
      </c>
      <c r="O380" t="str">
        <f>IF(user_behavior_dataset!$H380&gt;=1341,"Yes","No")</f>
        <v>Yes</v>
      </c>
      <c r="P380" t="str">
        <f>IF(user_behavior_dataset!$F380&gt;=2229,"Yes","No")</f>
        <v>Yes</v>
      </c>
    </row>
    <row r="381" spans="1:16" x14ac:dyDescent="0.3">
      <c r="A381">
        <v>380</v>
      </c>
      <c r="B381" t="s">
        <v>14</v>
      </c>
      <c r="C381" t="s">
        <v>12</v>
      </c>
      <c r="D381">
        <v>106</v>
      </c>
      <c r="E381">
        <v>3</v>
      </c>
      <c r="F381">
        <v>922</v>
      </c>
      <c r="G381">
        <v>22</v>
      </c>
      <c r="H381">
        <v>313</v>
      </c>
      <c r="I381">
        <v>51</v>
      </c>
      <c r="J381" t="str">
        <f t="shared" si="10"/>
        <v>40+</v>
      </c>
      <c r="K381" t="s">
        <v>13</v>
      </c>
      <c r="L381">
        <v>2</v>
      </c>
      <c r="M381" t="str">
        <f t="shared" si="11"/>
        <v>Yes</v>
      </c>
      <c r="N381" t="str">
        <f>IF(user_behavior_dataset!$D381&lt;60,"Low",
IF(user_behavior_dataset!$D381&lt;=180,"Medium","High"))</f>
        <v>Medium</v>
      </c>
      <c r="O381" t="str">
        <f>IF(user_behavior_dataset!$H381&gt;=1341,"Yes","No")</f>
        <v>No</v>
      </c>
      <c r="P381" t="str">
        <f>IF(user_behavior_dataset!$F381&gt;=2229,"Yes","No")</f>
        <v>No</v>
      </c>
    </row>
    <row r="382" spans="1:16" x14ac:dyDescent="0.3">
      <c r="A382">
        <v>381</v>
      </c>
      <c r="B382" t="s">
        <v>17</v>
      </c>
      <c r="C382" t="s">
        <v>18</v>
      </c>
      <c r="D382">
        <v>188</v>
      </c>
      <c r="E382">
        <v>4.5999999999999996</v>
      </c>
      <c r="F382">
        <v>1767</v>
      </c>
      <c r="G382">
        <v>47</v>
      </c>
      <c r="H382">
        <v>653</v>
      </c>
      <c r="I382">
        <v>34</v>
      </c>
      <c r="J382" t="str">
        <f t="shared" si="10"/>
        <v>25–40</v>
      </c>
      <c r="K382" t="s">
        <v>13</v>
      </c>
      <c r="L382">
        <v>3</v>
      </c>
      <c r="M382" t="str">
        <f t="shared" si="11"/>
        <v>Yes</v>
      </c>
      <c r="N382" t="str">
        <f>IF(user_behavior_dataset!$D382&lt;60,"Low",
IF(user_behavior_dataset!$D382&lt;=180,"Medium","High"))</f>
        <v>High</v>
      </c>
      <c r="O382" t="str">
        <f>IF(user_behavior_dataset!$H382&gt;=1341,"Yes","No")</f>
        <v>No</v>
      </c>
      <c r="P382" t="str">
        <f>IF(user_behavior_dataset!$F382&gt;=2229,"Yes","No")</f>
        <v>No</v>
      </c>
    </row>
    <row r="383" spans="1:16" x14ac:dyDescent="0.3">
      <c r="A383">
        <v>382</v>
      </c>
      <c r="B383" t="s">
        <v>17</v>
      </c>
      <c r="C383" t="s">
        <v>18</v>
      </c>
      <c r="D383">
        <v>493</v>
      </c>
      <c r="E383">
        <v>10.4</v>
      </c>
      <c r="F383">
        <v>2453</v>
      </c>
      <c r="G383">
        <v>99</v>
      </c>
      <c r="H383">
        <v>1813</v>
      </c>
      <c r="I383">
        <v>39</v>
      </c>
      <c r="J383" t="str">
        <f t="shared" si="10"/>
        <v>25–40</v>
      </c>
      <c r="K383" t="s">
        <v>13</v>
      </c>
      <c r="L383">
        <v>5</v>
      </c>
      <c r="M383" t="str">
        <f t="shared" si="11"/>
        <v>Yes</v>
      </c>
      <c r="N383" t="str">
        <f>IF(user_behavior_dataset!$D383&lt;60,"Low",
IF(user_behavior_dataset!$D383&lt;=180,"Medium","High"))</f>
        <v>High</v>
      </c>
      <c r="O383" t="str">
        <f>IF(user_behavior_dataset!$H383&gt;=1341,"Yes","No")</f>
        <v>Yes</v>
      </c>
      <c r="P383" t="str">
        <f>IF(user_behavior_dataset!$F383&gt;=2229,"Yes","No")</f>
        <v>Yes</v>
      </c>
    </row>
    <row r="384" spans="1:16" x14ac:dyDescent="0.3">
      <c r="A384">
        <v>383</v>
      </c>
      <c r="B384" t="s">
        <v>14</v>
      </c>
      <c r="C384" t="s">
        <v>12</v>
      </c>
      <c r="D384">
        <v>84</v>
      </c>
      <c r="E384">
        <v>1.5</v>
      </c>
      <c r="F384">
        <v>373</v>
      </c>
      <c r="G384">
        <v>19</v>
      </c>
      <c r="H384">
        <v>299</v>
      </c>
      <c r="I384">
        <v>37</v>
      </c>
      <c r="J384" t="str">
        <f t="shared" si="10"/>
        <v>25–40</v>
      </c>
      <c r="K384" t="s">
        <v>15</v>
      </c>
      <c r="L384">
        <v>1</v>
      </c>
      <c r="M384" t="str">
        <f t="shared" si="11"/>
        <v>Yes</v>
      </c>
      <c r="N384" t="str">
        <f>IF(user_behavior_dataset!$D384&lt;60,"Low",
IF(user_behavior_dataset!$D384&lt;=180,"Medium","High"))</f>
        <v>Medium</v>
      </c>
      <c r="O384" t="str">
        <f>IF(user_behavior_dataset!$H384&gt;=1341,"Yes","No")</f>
        <v>No</v>
      </c>
      <c r="P384" t="str">
        <f>IF(user_behavior_dataset!$F384&gt;=2229,"Yes","No")</f>
        <v>No</v>
      </c>
    </row>
    <row r="385" spans="1:16" x14ac:dyDescent="0.3">
      <c r="A385">
        <v>384</v>
      </c>
      <c r="B385" t="s">
        <v>14</v>
      </c>
      <c r="C385" t="s">
        <v>12</v>
      </c>
      <c r="D385">
        <v>104</v>
      </c>
      <c r="E385">
        <v>2.9</v>
      </c>
      <c r="F385">
        <v>653</v>
      </c>
      <c r="G385">
        <v>35</v>
      </c>
      <c r="H385">
        <v>322</v>
      </c>
      <c r="I385">
        <v>30</v>
      </c>
      <c r="J385" t="str">
        <f t="shared" si="10"/>
        <v>25–40</v>
      </c>
      <c r="K385" t="s">
        <v>13</v>
      </c>
      <c r="L385">
        <v>2</v>
      </c>
      <c r="M385" t="str">
        <f t="shared" si="11"/>
        <v>Yes</v>
      </c>
      <c r="N385" t="str">
        <f>IF(user_behavior_dataset!$D385&lt;60,"Low",
IF(user_behavior_dataset!$D385&lt;=180,"Medium","High"))</f>
        <v>Medium</v>
      </c>
      <c r="O385" t="str">
        <f>IF(user_behavior_dataset!$H385&gt;=1341,"Yes","No")</f>
        <v>No</v>
      </c>
      <c r="P385" t="str">
        <f>IF(user_behavior_dataset!$F385&gt;=2229,"Yes","No")</f>
        <v>No</v>
      </c>
    </row>
    <row r="386" spans="1:16" x14ac:dyDescent="0.3">
      <c r="A386">
        <v>385</v>
      </c>
      <c r="B386" t="s">
        <v>19</v>
      </c>
      <c r="C386" t="s">
        <v>12</v>
      </c>
      <c r="D386">
        <v>102</v>
      </c>
      <c r="E386">
        <v>3</v>
      </c>
      <c r="F386">
        <v>890</v>
      </c>
      <c r="G386">
        <v>38</v>
      </c>
      <c r="H386">
        <v>548</v>
      </c>
      <c r="I386">
        <v>28</v>
      </c>
      <c r="J386" t="str">
        <f t="shared" si="10"/>
        <v>25–40</v>
      </c>
      <c r="K386" t="s">
        <v>13</v>
      </c>
      <c r="L386">
        <v>2</v>
      </c>
      <c r="M386" t="str">
        <f t="shared" si="11"/>
        <v>Yes</v>
      </c>
      <c r="N386" t="str">
        <f>IF(user_behavior_dataset!$D386&lt;60,"Low",
IF(user_behavior_dataset!$D386&lt;=180,"Medium","High"))</f>
        <v>Medium</v>
      </c>
      <c r="O386" t="str">
        <f>IF(user_behavior_dataset!$H386&gt;=1341,"Yes","No")</f>
        <v>No</v>
      </c>
      <c r="P386" t="str">
        <f>IF(user_behavior_dataset!$F386&gt;=2229,"Yes","No")</f>
        <v>No</v>
      </c>
    </row>
    <row r="387" spans="1:16" x14ac:dyDescent="0.3">
      <c r="A387">
        <v>386</v>
      </c>
      <c r="B387" t="s">
        <v>17</v>
      </c>
      <c r="C387" t="s">
        <v>18</v>
      </c>
      <c r="D387">
        <v>349</v>
      </c>
      <c r="E387">
        <v>6.6</v>
      </c>
      <c r="F387">
        <v>2041</v>
      </c>
      <c r="G387">
        <v>78</v>
      </c>
      <c r="H387">
        <v>1096</v>
      </c>
      <c r="I387">
        <v>40</v>
      </c>
      <c r="J387" t="str">
        <f t="shared" ref="J387:J450" si="12">IF(I387="","Unknown",IF(I387&lt;25,"&lt;25",IF(I387&lt;=40,"25–40","40+")))</f>
        <v>25–40</v>
      </c>
      <c r="K387" t="s">
        <v>15</v>
      </c>
      <c r="L387">
        <v>4</v>
      </c>
      <c r="M387" t="str">
        <f t="shared" ref="M387:M450" si="13">IF(D387&gt;=60,"Yes","No")</f>
        <v>Yes</v>
      </c>
      <c r="N387" t="str">
        <f>IF(user_behavior_dataset!$D387&lt;60,"Low",
IF(user_behavior_dataset!$D387&lt;=180,"Medium","High"))</f>
        <v>High</v>
      </c>
      <c r="O387" t="str">
        <f>IF(user_behavior_dataset!$H387&gt;=1341,"Yes","No")</f>
        <v>No</v>
      </c>
      <c r="P387" t="str">
        <f>IF(user_behavior_dataset!$F387&gt;=2229,"Yes","No")</f>
        <v>No</v>
      </c>
    </row>
    <row r="388" spans="1:16" x14ac:dyDescent="0.3">
      <c r="A388">
        <v>387</v>
      </c>
      <c r="B388" t="s">
        <v>14</v>
      </c>
      <c r="C388" t="s">
        <v>12</v>
      </c>
      <c r="D388">
        <v>98</v>
      </c>
      <c r="E388">
        <v>2</v>
      </c>
      <c r="F388">
        <v>925</v>
      </c>
      <c r="G388">
        <v>32</v>
      </c>
      <c r="H388">
        <v>457</v>
      </c>
      <c r="I388">
        <v>28</v>
      </c>
      <c r="J388" t="str">
        <f t="shared" si="12"/>
        <v>25–40</v>
      </c>
      <c r="K388" t="s">
        <v>13</v>
      </c>
      <c r="L388">
        <v>2</v>
      </c>
      <c r="M388" t="str">
        <f t="shared" si="13"/>
        <v>Yes</v>
      </c>
      <c r="N388" t="str">
        <f>IF(user_behavior_dataset!$D388&lt;60,"Low",
IF(user_behavior_dataset!$D388&lt;=180,"Medium","High"))</f>
        <v>Medium</v>
      </c>
      <c r="O388" t="str">
        <f>IF(user_behavior_dataset!$H388&gt;=1341,"Yes","No")</f>
        <v>No</v>
      </c>
      <c r="P388" t="str">
        <f>IF(user_behavior_dataset!$F388&gt;=2229,"Yes","No")</f>
        <v>No</v>
      </c>
    </row>
    <row r="389" spans="1:16" x14ac:dyDescent="0.3">
      <c r="A389">
        <v>388</v>
      </c>
      <c r="B389" t="s">
        <v>19</v>
      </c>
      <c r="C389" t="s">
        <v>12</v>
      </c>
      <c r="D389">
        <v>72</v>
      </c>
      <c r="E389">
        <v>1.3</v>
      </c>
      <c r="F389">
        <v>461</v>
      </c>
      <c r="G389">
        <v>13</v>
      </c>
      <c r="H389">
        <v>199</v>
      </c>
      <c r="I389">
        <v>32</v>
      </c>
      <c r="J389" t="str">
        <f t="shared" si="12"/>
        <v>25–40</v>
      </c>
      <c r="K389" t="s">
        <v>13</v>
      </c>
      <c r="L389">
        <v>1</v>
      </c>
      <c r="M389" t="str">
        <f t="shared" si="13"/>
        <v>Yes</v>
      </c>
      <c r="N389" t="str">
        <f>IF(user_behavior_dataset!$D389&lt;60,"Low",
IF(user_behavior_dataset!$D389&lt;=180,"Medium","High"))</f>
        <v>Medium</v>
      </c>
      <c r="O389" t="str">
        <f>IF(user_behavior_dataset!$H389&gt;=1341,"Yes","No")</f>
        <v>No</v>
      </c>
      <c r="P389" t="str">
        <f>IF(user_behavior_dataset!$F389&gt;=2229,"Yes","No")</f>
        <v>No</v>
      </c>
    </row>
    <row r="390" spans="1:16" x14ac:dyDescent="0.3">
      <c r="A390">
        <v>389</v>
      </c>
      <c r="B390" t="s">
        <v>16</v>
      </c>
      <c r="C390" t="s">
        <v>12</v>
      </c>
      <c r="D390">
        <v>563</v>
      </c>
      <c r="E390">
        <v>11.6</v>
      </c>
      <c r="F390">
        <v>2968</v>
      </c>
      <c r="G390">
        <v>92</v>
      </c>
      <c r="H390">
        <v>2191</v>
      </c>
      <c r="I390">
        <v>34</v>
      </c>
      <c r="J390" t="str">
        <f t="shared" si="12"/>
        <v>25–40</v>
      </c>
      <c r="K390" t="s">
        <v>15</v>
      </c>
      <c r="L390">
        <v>5</v>
      </c>
      <c r="M390" t="str">
        <f t="shared" si="13"/>
        <v>Yes</v>
      </c>
      <c r="N390" t="str">
        <f>IF(user_behavior_dataset!$D390&lt;60,"Low",
IF(user_behavior_dataset!$D390&lt;=180,"Medium","High"))</f>
        <v>High</v>
      </c>
      <c r="O390" t="str">
        <f>IF(user_behavior_dataset!$H390&gt;=1341,"Yes","No")</f>
        <v>Yes</v>
      </c>
      <c r="P390" t="str">
        <f>IF(user_behavior_dataset!$F390&gt;=2229,"Yes","No")</f>
        <v>Yes</v>
      </c>
    </row>
    <row r="391" spans="1:16" x14ac:dyDescent="0.3">
      <c r="A391">
        <v>390</v>
      </c>
      <c r="B391" t="s">
        <v>16</v>
      </c>
      <c r="C391" t="s">
        <v>12</v>
      </c>
      <c r="D391">
        <v>119</v>
      </c>
      <c r="E391">
        <v>2.8</v>
      </c>
      <c r="F391">
        <v>775</v>
      </c>
      <c r="G391">
        <v>31</v>
      </c>
      <c r="H391">
        <v>313</v>
      </c>
      <c r="I391">
        <v>50</v>
      </c>
      <c r="J391" t="str">
        <f t="shared" si="12"/>
        <v>40+</v>
      </c>
      <c r="K391" t="s">
        <v>15</v>
      </c>
      <c r="L391">
        <v>2</v>
      </c>
      <c r="M391" t="str">
        <f t="shared" si="13"/>
        <v>Yes</v>
      </c>
      <c r="N391" t="str">
        <f>IF(user_behavior_dataset!$D391&lt;60,"Low",
IF(user_behavior_dataset!$D391&lt;=180,"Medium","High"))</f>
        <v>Medium</v>
      </c>
      <c r="O391" t="str">
        <f>IF(user_behavior_dataset!$H391&gt;=1341,"Yes","No")</f>
        <v>No</v>
      </c>
      <c r="P391" t="str">
        <f>IF(user_behavior_dataset!$F391&gt;=2229,"Yes","No")</f>
        <v>No</v>
      </c>
    </row>
    <row r="392" spans="1:16" x14ac:dyDescent="0.3">
      <c r="A392">
        <v>391</v>
      </c>
      <c r="B392" t="s">
        <v>14</v>
      </c>
      <c r="C392" t="s">
        <v>12</v>
      </c>
      <c r="D392">
        <v>311</v>
      </c>
      <c r="E392">
        <v>7.9</v>
      </c>
      <c r="F392">
        <v>2231</v>
      </c>
      <c r="G392">
        <v>69</v>
      </c>
      <c r="H392">
        <v>1021</v>
      </c>
      <c r="I392">
        <v>36</v>
      </c>
      <c r="J392" t="str">
        <f t="shared" si="12"/>
        <v>25–40</v>
      </c>
      <c r="K392" t="s">
        <v>13</v>
      </c>
      <c r="L392">
        <v>4</v>
      </c>
      <c r="M392" t="str">
        <f t="shared" si="13"/>
        <v>Yes</v>
      </c>
      <c r="N392" t="str">
        <f>IF(user_behavior_dataset!$D392&lt;60,"Low",
IF(user_behavior_dataset!$D392&lt;=180,"Medium","High"))</f>
        <v>High</v>
      </c>
      <c r="O392" t="str">
        <f>IF(user_behavior_dataset!$H392&gt;=1341,"Yes","No")</f>
        <v>No</v>
      </c>
      <c r="P392" t="str">
        <f>IF(user_behavior_dataset!$F392&gt;=2229,"Yes","No")</f>
        <v>Yes</v>
      </c>
    </row>
    <row r="393" spans="1:16" x14ac:dyDescent="0.3">
      <c r="A393">
        <v>392</v>
      </c>
      <c r="B393" t="s">
        <v>14</v>
      </c>
      <c r="C393" t="s">
        <v>12</v>
      </c>
      <c r="D393">
        <v>337</v>
      </c>
      <c r="E393">
        <v>6.1</v>
      </c>
      <c r="F393">
        <v>1901</v>
      </c>
      <c r="G393">
        <v>76</v>
      </c>
      <c r="H393">
        <v>1359</v>
      </c>
      <c r="I393">
        <v>58</v>
      </c>
      <c r="J393" t="str">
        <f t="shared" si="12"/>
        <v>40+</v>
      </c>
      <c r="K393" t="s">
        <v>13</v>
      </c>
      <c r="L393">
        <v>4</v>
      </c>
      <c r="M393" t="str">
        <f t="shared" si="13"/>
        <v>Yes</v>
      </c>
      <c r="N393" t="str">
        <f>IF(user_behavior_dataset!$D393&lt;60,"Low",
IF(user_behavior_dataset!$D393&lt;=180,"Medium","High"))</f>
        <v>High</v>
      </c>
      <c r="O393" t="str">
        <f>IF(user_behavior_dataset!$H393&gt;=1341,"Yes","No")</f>
        <v>Yes</v>
      </c>
      <c r="P393" t="str">
        <f>IF(user_behavior_dataset!$F393&gt;=2229,"Yes","No")</f>
        <v>No</v>
      </c>
    </row>
    <row r="394" spans="1:16" x14ac:dyDescent="0.3">
      <c r="A394">
        <v>393</v>
      </c>
      <c r="B394" t="s">
        <v>19</v>
      </c>
      <c r="C394" t="s">
        <v>12</v>
      </c>
      <c r="D394">
        <v>168</v>
      </c>
      <c r="E394">
        <v>3.5</v>
      </c>
      <c r="F394">
        <v>1055</v>
      </c>
      <c r="G394">
        <v>29</v>
      </c>
      <c r="H394">
        <v>313</v>
      </c>
      <c r="I394">
        <v>54</v>
      </c>
      <c r="J394" t="str">
        <f t="shared" si="12"/>
        <v>40+</v>
      </c>
      <c r="K394" t="s">
        <v>13</v>
      </c>
      <c r="L394">
        <v>2</v>
      </c>
      <c r="M394" t="str">
        <f t="shared" si="13"/>
        <v>Yes</v>
      </c>
      <c r="N394" t="str">
        <f>IF(user_behavior_dataset!$D394&lt;60,"Low",
IF(user_behavior_dataset!$D394&lt;=180,"Medium","High"))</f>
        <v>Medium</v>
      </c>
      <c r="O394" t="str">
        <f>IF(user_behavior_dataset!$H394&gt;=1341,"Yes","No")</f>
        <v>No</v>
      </c>
      <c r="P394" t="str">
        <f>IF(user_behavior_dataset!$F394&gt;=2229,"Yes","No")</f>
        <v>No</v>
      </c>
    </row>
    <row r="395" spans="1:16" x14ac:dyDescent="0.3">
      <c r="A395">
        <v>394</v>
      </c>
      <c r="B395" t="s">
        <v>17</v>
      </c>
      <c r="C395" t="s">
        <v>18</v>
      </c>
      <c r="D395">
        <v>331</v>
      </c>
      <c r="E395">
        <v>7.4</v>
      </c>
      <c r="F395">
        <v>2129</v>
      </c>
      <c r="G395">
        <v>66</v>
      </c>
      <c r="H395">
        <v>1459</v>
      </c>
      <c r="I395">
        <v>53</v>
      </c>
      <c r="J395" t="str">
        <f t="shared" si="12"/>
        <v>40+</v>
      </c>
      <c r="K395" t="s">
        <v>13</v>
      </c>
      <c r="L395">
        <v>4</v>
      </c>
      <c r="M395" t="str">
        <f t="shared" si="13"/>
        <v>Yes</v>
      </c>
      <c r="N395" t="str">
        <f>IF(user_behavior_dataset!$D395&lt;60,"Low",
IF(user_behavior_dataset!$D395&lt;=180,"Medium","High"))</f>
        <v>High</v>
      </c>
      <c r="O395" t="str">
        <f>IF(user_behavior_dataset!$H395&gt;=1341,"Yes","No")</f>
        <v>Yes</v>
      </c>
      <c r="P395" t="str">
        <f>IF(user_behavior_dataset!$F395&gt;=2229,"Yes","No")</f>
        <v>No</v>
      </c>
    </row>
    <row r="396" spans="1:16" x14ac:dyDescent="0.3">
      <c r="A396">
        <v>395</v>
      </c>
      <c r="B396" t="s">
        <v>11</v>
      </c>
      <c r="C396" t="s">
        <v>12</v>
      </c>
      <c r="D396">
        <v>589</v>
      </c>
      <c r="E396">
        <v>9.1999999999999993</v>
      </c>
      <c r="F396">
        <v>2663</v>
      </c>
      <c r="G396">
        <v>84</v>
      </c>
      <c r="H396">
        <v>1774</v>
      </c>
      <c r="I396">
        <v>45</v>
      </c>
      <c r="J396" t="str">
        <f t="shared" si="12"/>
        <v>40+</v>
      </c>
      <c r="K396" t="s">
        <v>15</v>
      </c>
      <c r="L396">
        <v>5</v>
      </c>
      <c r="M396" t="str">
        <f t="shared" si="13"/>
        <v>Yes</v>
      </c>
      <c r="N396" t="str">
        <f>IF(user_behavior_dataset!$D396&lt;60,"Low",
IF(user_behavior_dataset!$D396&lt;=180,"Medium","High"))</f>
        <v>High</v>
      </c>
      <c r="O396" t="str">
        <f>IF(user_behavior_dataset!$H396&gt;=1341,"Yes","No")</f>
        <v>Yes</v>
      </c>
      <c r="P396" t="str">
        <f>IF(user_behavior_dataset!$F396&gt;=2229,"Yes","No")</f>
        <v>Yes</v>
      </c>
    </row>
    <row r="397" spans="1:16" x14ac:dyDescent="0.3">
      <c r="A397">
        <v>396</v>
      </c>
      <c r="B397" t="s">
        <v>16</v>
      </c>
      <c r="C397" t="s">
        <v>12</v>
      </c>
      <c r="D397">
        <v>472</v>
      </c>
      <c r="E397">
        <v>6.8</v>
      </c>
      <c r="F397">
        <v>2288</v>
      </c>
      <c r="G397">
        <v>61</v>
      </c>
      <c r="H397">
        <v>1356</v>
      </c>
      <c r="I397">
        <v>52</v>
      </c>
      <c r="J397" t="str">
        <f t="shared" si="12"/>
        <v>40+</v>
      </c>
      <c r="K397" t="s">
        <v>13</v>
      </c>
      <c r="L397">
        <v>4</v>
      </c>
      <c r="M397" t="str">
        <f t="shared" si="13"/>
        <v>Yes</v>
      </c>
      <c r="N397" t="str">
        <f>IF(user_behavior_dataset!$D397&lt;60,"Low",
IF(user_behavior_dataset!$D397&lt;=180,"Medium","High"))</f>
        <v>High</v>
      </c>
      <c r="O397" t="str">
        <f>IF(user_behavior_dataset!$H397&gt;=1341,"Yes","No")</f>
        <v>Yes</v>
      </c>
      <c r="P397" t="str">
        <f>IF(user_behavior_dataset!$F397&gt;=2229,"Yes","No")</f>
        <v>Yes</v>
      </c>
    </row>
    <row r="398" spans="1:16" x14ac:dyDescent="0.3">
      <c r="A398">
        <v>397</v>
      </c>
      <c r="B398" t="s">
        <v>16</v>
      </c>
      <c r="C398" t="s">
        <v>12</v>
      </c>
      <c r="D398">
        <v>78</v>
      </c>
      <c r="E398">
        <v>1.1000000000000001</v>
      </c>
      <c r="F398">
        <v>437</v>
      </c>
      <c r="G398">
        <v>14</v>
      </c>
      <c r="H398">
        <v>143</v>
      </c>
      <c r="I398">
        <v>27</v>
      </c>
      <c r="J398" t="str">
        <f t="shared" si="12"/>
        <v>25–40</v>
      </c>
      <c r="K398" t="s">
        <v>15</v>
      </c>
      <c r="L398">
        <v>1</v>
      </c>
      <c r="M398" t="str">
        <f t="shared" si="13"/>
        <v>Yes</v>
      </c>
      <c r="N398" t="str">
        <f>IF(user_behavior_dataset!$D398&lt;60,"Low",
IF(user_behavior_dataset!$D398&lt;=180,"Medium","High"))</f>
        <v>Medium</v>
      </c>
      <c r="O398" t="str">
        <f>IF(user_behavior_dataset!$H398&gt;=1341,"Yes","No")</f>
        <v>No</v>
      </c>
      <c r="P398" t="str">
        <f>IF(user_behavior_dataset!$F398&gt;=2229,"Yes","No")</f>
        <v>No</v>
      </c>
    </row>
    <row r="399" spans="1:16" x14ac:dyDescent="0.3">
      <c r="A399">
        <v>398</v>
      </c>
      <c r="B399" t="s">
        <v>17</v>
      </c>
      <c r="C399" t="s">
        <v>18</v>
      </c>
      <c r="D399">
        <v>517</v>
      </c>
      <c r="E399">
        <v>11.6</v>
      </c>
      <c r="F399">
        <v>2798</v>
      </c>
      <c r="G399">
        <v>90</v>
      </c>
      <c r="H399">
        <v>2175</v>
      </c>
      <c r="I399">
        <v>20</v>
      </c>
      <c r="J399" t="str">
        <f t="shared" si="12"/>
        <v>&lt;25</v>
      </c>
      <c r="K399" t="s">
        <v>13</v>
      </c>
      <c r="L399">
        <v>5</v>
      </c>
      <c r="M399" t="str">
        <f t="shared" si="13"/>
        <v>Yes</v>
      </c>
      <c r="N399" t="str">
        <f>IF(user_behavior_dataset!$D399&lt;60,"Low",
IF(user_behavior_dataset!$D399&lt;=180,"Medium","High"))</f>
        <v>High</v>
      </c>
      <c r="O399" t="str">
        <f>IF(user_behavior_dataset!$H399&gt;=1341,"Yes","No")</f>
        <v>Yes</v>
      </c>
      <c r="P399" t="str">
        <f>IF(user_behavior_dataset!$F399&gt;=2229,"Yes","No")</f>
        <v>Yes</v>
      </c>
    </row>
    <row r="400" spans="1:16" x14ac:dyDescent="0.3">
      <c r="A400">
        <v>399</v>
      </c>
      <c r="B400" t="s">
        <v>14</v>
      </c>
      <c r="C400" t="s">
        <v>12</v>
      </c>
      <c r="D400">
        <v>41</v>
      </c>
      <c r="E400">
        <v>1.6</v>
      </c>
      <c r="F400">
        <v>323</v>
      </c>
      <c r="G400">
        <v>18</v>
      </c>
      <c r="H400">
        <v>221</v>
      </c>
      <c r="I400">
        <v>43</v>
      </c>
      <c r="J400" t="str">
        <f t="shared" si="12"/>
        <v>40+</v>
      </c>
      <c r="K400" t="s">
        <v>15</v>
      </c>
      <c r="L400">
        <v>1</v>
      </c>
      <c r="M400" t="str">
        <f t="shared" si="13"/>
        <v>No</v>
      </c>
      <c r="N400" t="str">
        <f>IF(user_behavior_dataset!$D400&lt;60,"Low",
IF(user_behavior_dataset!$D400&lt;=180,"Medium","High"))</f>
        <v>Low</v>
      </c>
      <c r="O400" t="str">
        <f>IF(user_behavior_dataset!$H400&gt;=1341,"Yes","No")</f>
        <v>No</v>
      </c>
      <c r="P400" t="str">
        <f>IF(user_behavior_dataset!$F400&gt;=2229,"Yes","No")</f>
        <v>No</v>
      </c>
    </row>
    <row r="401" spans="1:16" x14ac:dyDescent="0.3">
      <c r="A401">
        <v>400</v>
      </c>
      <c r="B401" t="s">
        <v>14</v>
      </c>
      <c r="C401" t="s">
        <v>12</v>
      </c>
      <c r="D401">
        <v>49</v>
      </c>
      <c r="E401">
        <v>1.5</v>
      </c>
      <c r="F401">
        <v>571</v>
      </c>
      <c r="G401">
        <v>10</v>
      </c>
      <c r="H401">
        <v>203</v>
      </c>
      <c r="I401">
        <v>29</v>
      </c>
      <c r="J401" t="str">
        <f t="shared" si="12"/>
        <v>25–40</v>
      </c>
      <c r="K401" t="s">
        <v>13</v>
      </c>
      <c r="L401">
        <v>1</v>
      </c>
      <c r="M401" t="str">
        <f t="shared" si="13"/>
        <v>No</v>
      </c>
      <c r="N401" t="str">
        <f>IF(user_behavior_dataset!$D401&lt;60,"Low",
IF(user_behavior_dataset!$D401&lt;=180,"Medium","High"))</f>
        <v>Low</v>
      </c>
      <c r="O401" t="str">
        <f>IF(user_behavior_dataset!$H401&gt;=1341,"Yes","No")</f>
        <v>No</v>
      </c>
      <c r="P401" t="str">
        <f>IF(user_behavior_dataset!$F401&gt;=2229,"Yes","No")</f>
        <v>No</v>
      </c>
    </row>
    <row r="402" spans="1:16" x14ac:dyDescent="0.3">
      <c r="A402">
        <v>401</v>
      </c>
      <c r="B402" t="s">
        <v>16</v>
      </c>
      <c r="C402" t="s">
        <v>12</v>
      </c>
      <c r="D402">
        <v>522</v>
      </c>
      <c r="E402">
        <v>11.1</v>
      </c>
      <c r="F402">
        <v>2821</v>
      </c>
      <c r="G402">
        <v>86</v>
      </c>
      <c r="H402">
        <v>1891</v>
      </c>
      <c r="I402">
        <v>42</v>
      </c>
      <c r="J402" t="str">
        <f t="shared" si="12"/>
        <v>40+</v>
      </c>
      <c r="K402" t="s">
        <v>13</v>
      </c>
      <c r="L402">
        <v>5</v>
      </c>
      <c r="M402" t="str">
        <f t="shared" si="13"/>
        <v>Yes</v>
      </c>
      <c r="N402" t="str">
        <f>IF(user_behavior_dataset!$D402&lt;60,"Low",
IF(user_behavior_dataset!$D402&lt;=180,"Medium","High"))</f>
        <v>High</v>
      </c>
      <c r="O402" t="str">
        <f>IF(user_behavior_dataset!$H402&gt;=1341,"Yes","No")</f>
        <v>Yes</v>
      </c>
      <c r="P402" t="str">
        <f>IF(user_behavior_dataset!$F402&gt;=2229,"Yes","No")</f>
        <v>Yes</v>
      </c>
    </row>
    <row r="403" spans="1:16" x14ac:dyDescent="0.3">
      <c r="A403">
        <v>402</v>
      </c>
      <c r="B403" t="s">
        <v>11</v>
      </c>
      <c r="C403" t="s">
        <v>12</v>
      </c>
      <c r="D403">
        <v>97</v>
      </c>
      <c r="E403">
        <v>2.7</v>
      </c>
      <c r="F403">
        <v>612</v>
      </c>
      <c r="G403">
        <v>36</v>
      </c>
      <c r="H403">
        <v>508</v>
      </c>
      <c r="I403">
        <v>53</v>
      </c>
      <c r="J403" t="str">
        <f t="shared" si="12"/>
        <v>40+</v>
      </c>
      <c r="K403" t="s">
        <v>13</v>
      </c>
      <c r="L403">
        <v>2</v>
      </c>
      <c r="M403" t="str">
        <f t="shared" si="13"/>
        <v>Yes</v>
      </c>
      <c r="N403" t="str">
        <f>IF(user_behavior_dataset!$D403&lt;60,"Low",
IF(user_behavior_dataset!$D403&lt;=180,"Medium","High"))</f>
        <v>Medium</v>
      </c>
      <c r="O403" t="str">
        <f>IF(user_behavior_dataset!$H403&gt;=1341,"Yes","No")</f>
        <v>No</v>
      </c>
      <c r="P403" t="str">
        <f>IF(user_behavior_dataset!$F403&gt;=2229,"Yes","No")</f>
        <v>No</v>
      </c>
    </row>
    <row r="404" spans="1:16" x14ac:dyDescent="0.3">
      <c r="A404">
        <v>403</v>
      </c>
      <c r="B404" t="s">
        <v>17</v>
      </c>
      <c r="C404" t="s">
        <v>18</v>
      </c>
      <c r="D404">
        <v>411</v>
      </c>
      <c r="E404">
        <v>7.4</v>
      </c>
      <c r="F404">
        <v>1960</v>
      </c>
      <c r="G404">
        <v>71</v>
      </c>
      <c r="H404">
        <v>1264</v>
      </c>
      <c r="I404">
        <v>40</v>
      </c>
      <c r="J404" t="str">
        <f t="shared" si="12"/>
        <v>25–40</v>
      </c>
      <c r="K404" t="s">
        <v>13</v>
      </c>
      <c r="L404">
        <v>4</v>
      </c>
      <c r="M404" t="str">
        <f t="shared" si="13"/>
        <v>Yes</v>
      </c>
      <c r="N404" t="str">
        <f>IF(user_behavior_dataset!$D404&lt;60,"Low",
IF(user_behavior_dataset!$D404&lt;=180,"Medium","High"))</f>
        <v>High</v>
      </c>
      <c r="O404" t="str">
        <f>IF(user_behavior_dataset!$H404&gt;=1341,"Yes","No")</f>
        <v>No</v>
      </c>
      <c r="P404" t="str">
        <f>IF(user_behavior_dataset!$F404&gt;=2229,"Yes","No")</f>
        <v>No</v>
      </c>
    </row>
    <row r="405" spans="1:16" x14ac:dyDescent="0.3">
      <c r="A405">
        <v>404</v>
      </c>
      <c r="B405" t="s">
        <v>19</v>
      </c>
      <c r="C405" t="s">
        <v>12</v>
      </c>
      <c r="D405">
        <v>566</v>
      </c>
      <c r="E405">
        <v>8.6</v>
      </c>
      <c r="F405">
        <v>2595</v>
      </c>
      <c r="G405">
        <v>89</v>
      </c>
      <c r="H405">
        <v>1657</v>
      </c>
      <c r="I405">
        <v>51</v>
      </c>
      <c r="J405" t="str">
        <f t="shared" si="12"/>
        <v>40+</v>
      </c>
      <c r="K405" t="s">
        <v>15</v>
      </c>
      <c r="L405">
        <v>5</v>
      </c>
      <c r="M405" t="str">
        <f t="shared" si="13"/>
        <v>Yes</v>
      </c>
      <c r="N405" t="str">
        <f>IF(user_behavior_dataset!$D405&lt;60,"Low",
IF(user_behavior_dataset!$D405&lt;=180,"Medium","High"))</f>
        <v>High</v>
      </c>
      <c r="O405" t="str">
        <f>IF(user_behavior_dataset!$H405&gt;=1341,"Yes","No")</f>
        <v>Yes</v>
      </c>
      <c r="P405" t="str">
        <f>IF(user_behavior_dataset!$F405&gt;=2229,"Yes","No")</f>
        <v>Yes</v>
      </c>
    </row>
    <row r="406" spans="1:16" x14ac:dyDescent="0.3">
      <c r="A406">
        <v>405</v>
      </c>
      <c r="B406" t="s">
        <v>17</v>
      </c>
      <c r="C406" t="s">
        <v>18</v>
      </c>
      <c r="D406">
        <v>559</v>
      </c>
      <c r="E406">
        <v>8.1999999999999993</v>
      </c>
      <c r="F406">
        <v>2618</v>
      </c>
      <c r="G406">
        <v>84</v>
      </c>
      <c r="H406">
        <v>2102</v>
      </c>
      <c r="I406">
        <v>22</v>
      </c>
      <c r="J406" t="str">
        <f t="shared" si="12"/>
        <v>&lt;25</v>
      </c>
      <c r="K406" t="s">
        <v>15</v>
      </c>
      <c r="L406">
        <v>5</v>
      </c>
      <c r="M406" t="str">
        <f t="shared" si="13"/>
        <v>Yes</v>
      </c>
      <c r="N406" t="str">
        <f>IF(user_behavior_dataset!$D406&lt;60,"Low",
IF(user_behavior_dataset!$D406&lt;=180,"Medium","High"))</f>
        <v>High</v>
      </c>
      <c r="O406" t="str">
        <f>IF(user_behavior_dataset!$H406&gt;=1341,"Yes","No")</f>
        <v>Yes</v>
      </c>
      <c r="P406" t="str">
        <f>IF(user_behavior_dataset!$F406&gt;=2229,"Yes","No")</f>
        <v>Yes</v>
      </c>
    </row>
    <row r="407" spans="1:16" x14ac:dyDescent="0.3">
      <c r="A407">
        <v>406</v>
      </c>
      <c r="B407" t="s">
        <v>11</v>
      </c>
      <c r="C407" t="s">
        <v>12</v>
      </c>
      <c r="D407">
        <v>478</v>
      </c>
      <c r="E407">
        <v>7.3</v>
      </c>
      <c r="F407">
        <v>2340</v>
      </c>
      <c r="G407">
        <v>69</v>
      </c>
      <c r="H407">
        <v>1017</v>
      </c>
      <c r="I407">
        <v>43</v>
      </c>
      <c r="J407" t="str">
        <f t="shared" si="12"/>
        <v>40+</v>
      </c>
      <c r="K407" t="s">
        <v>15</v>
      </c>
      <c r="L407">
        <v>4</v>
      </c>
      <c r="M407" t="str">
        <f t="shared" si="13"/>
        <v>Yes</v>
      </c>
      <c r="N407" t="str">
        <f>IF(user_behavior_dataset!$D407&lt;60,"Low",
IF(user_behavior_dataset!$D407&lt;=180,"Medium","High"))</f>
        <v>High</v>
      </c>
      <c r="O407" t="str">
        <f>IF(user_behavior_dataset!$H407&gt;=1341,"Yes","No")</f>
        <v>No</v>
      </c>
      <c r="P407" t="str">
        <f>IF(user_behavior_dataset!$F407&gt;=2229,"Yes","No")</f>
        <v>Yes</v>
      </c>
    </row>
    <row r="408" spans="1:16" x14ac:dyDescent="0.3">
      <c r="A408">
        <v>407</v>
      </c>
      <c r="B408" t="s">
        <v>16</v>
      </c>
      <c r="C408" t="s">
        <v>12</v>
      </c>
      <c r="D408">
        <v>147</v>
      </c>
      <c r="E408">
        <v>3.2</v>
      </c>
      <c r="F408">
        <v>994</v>
      </c>
      <c r="G408">
        <v>33</v>
      </c>
      <c r="H408">
        <v>567</v>
      </c>
      <c r="I408">
        <v>25</v>
      </c>
      <c r="J408" t="str">
        <f t="shared" si="12"/>
        <v>25–40</v>
      </c>
      <c r="K408" t="s">
        <v>15</v>
      </c>
      <c r="L408">
        <v>2</v>
      </c>
      <c r="M408" t="str">
        <f t="shared" si="13"/>
        <v>Yes</v>
      </c>
      <c r="N408" t="str">
        <f>IF(user_behavior_dataset!$D408&lt;60,"Low",
IF(user_behavior_dataset!$D408&lt;=180,"Medium","High"))</f>
        <v>Medium</v>
      </c>
      <c r="O408" t="str">
        <f>IF(user_behavior_dataset!$H408&gt;=1341,"Yes","No")</f>
        <v>No</v>
      </c>
      <c r="P408" t="str">
        <f>IF(user_behavior_dataset!$F408&gt;=2229,"Yes","No")</f>
        <v>No</v>
      </c>
    </row>
    <row r="409" spans="1:16" x14ac:dyDescent="0.3">
      <c r="A409">
        <v>408</v>
      </c>
      <c r="B409" t="s">
        <v>14</v>
      </c>
      <c r="C409" t="s">
        <v>12</v>
      </c>
      <c r="D409">
        <v>395</v>
      </c>
      <c r="E409">
        <v>7.3</v>
      </c>
      <c r="F409">
        <v>2291</v>
      </c>
      <c r="G409">
        <v>61</v>
      </c>
      <c r="H409">
        <v>1049</v>
      </c>
      <c r="I409">
        <v>55</v>
      </c>
      <c r="J409" t="str">
        <f t="shared" si="12"/>
        <v>40+</v>
      </c>
      <c r="K409" t="s">
        <v>15</v>
      </c>
      <c r="L409">
        <v>4</v>
      </c>
      <c r="M409" t="str">
        <f t="shared" si="13"/>
        <v>Yes</v>
      </c>
      <c r="N409" t="str">
        <f>IF(user_behavior_dataset!$D409&lt;60,"Low",
IF(user_behavior_dataset!$D409&lt;=180,"Medium","High"))</f>
        <v>High</v>
      </c>
      <c r="O409" t="str">
        <f>IF(user_behavior_dataset!$H409&gt;=1341,"Yes","No")</f>
        <v>No</v>
      </c>
      <c r="P409" t="str">
        <f>IF(user_behavior_dataset!$F409&gt;=2229,"Yes","No")</f>
        <v>Yes</v>
      </c>
    </row>
    <row r="410" spans="1:16" x14ac:dyDescent="0.3">
      <c r="A410">
        <v>409</v>
      </c>
      <c r="B410" t="s">
        <v>19</v>
      </c>
      <c r="C410" t="s">
        <v>12</v>
      </c>
      <c r="D410">
        <v>357</v>
      </c>
      <c r="E410">
        <v>7.8</v>
      </c>
      <c r="F410">
        <v>2289</v>
      </c>
      <c r="G410">
        <v>74</v>
      </c>
      <c r="H410">
        <v>1242</v>
      </c>
      <c r="I410">
        <v>22</v>
      </c>
      <c r="J410" t="str">
        <f t="shared" si="12"/>
        <v>&lt;25</v>
      </c>
      <c r="K410" t="s">
        <v>15</v>
      </c>
      <c r="L410">
        <v>4</v>
      </c>
      <c r="M410" t="str">
        <f t="shared" si="13"/>
        <v>Yes</v>
      </c>
      <c r="N410" t="str">
        <f>IF(user_behavior_dataset!$D410&lt;60,"Low",
IF(user_behavior_dataset!$D410&lt;=180,"Medium","High"))</f>
        <v>High</v>
      </c>
      <c r="O410" t="str">
        <f>IF(user_behavior_dataset!$H410&gt;=1341,"Yes","No")</f>
        <v>No</v>
      </c>
      <c r="P410" t="str">
        <f>IF(user_behavior_dataset!$F410&gt;=2229,"Yes","No")</f>
        <v>Yes</v>
      </c>
    </row>
    <row r="411" spans="1:16" x14ac:dyDescent="0.3">
      <c r="A411">
        <v>410</v>
      </c>
      <c r="B411" t="s">
        <v>11</v>
      </c>
      <c r="C411" t="s">
        <v>12</v>
      </c>
      <c r="D411">
        <v>405</v>
      </c>
      <c r="E411">
        <v>6.9</v>
      </c>
      <c r="F411">
        <v>2366</v>
      </c>
      <c r="G411">
        <v>61</v>
      </c>
      <c r="H411">
        <v>1434</v>
      </c>
      <c r="I411">
        <v>51</v>
      </c>
      <c r="J411" t="str">
        <f t="shared" si="12"/>
        <v>40+</v>
      </c>
      <c r="K411" t="s">
        <v>13</v>
      </c>
      <c r="L411">
        <v>4</v>
      </c>
      <c r="M411" t="str">
        <f t="shared" si="13"/>
        <v>Yes</v>
      </c>
      <c r="N411" t="str">
        <f>IF(user_behavior_dataset!$D411&lt;60,"Low",
IF(user_behavior_dataset!$D411&lt;=180,"Medium","High"))</f>
        <v>High</v>
      </c>
      <c r="O411" t="str">
        <f>IF(user_behavior_dataset!$H411&gt;=1341,"Yes","No")</f>
        <v>Yes</v>
      </c>
      <c r="P411" t="str">
        <f>IF(user_behavior_dataset!$F411&gt;=2229,"Yes","No")</f>
        <v>Yes</v>
      </c>
    </row>
    <row r="412" spans="1:16" x14ac:dyDescent="0.3">
      <c r="A412">
        <v>411</v>
      </c>
      <c r="B412" t="s">
        <v>19</v>
      </c>
      <c r="C412" t="s">
        <v>12</v>
      </c>
      <c r="D412">
        <v>501</v>
      </c>
      <c r="E412">
        <v>11.8</v>
      </c>
      <c r="F412">
        <v>2790</v>
      </c>
      <c r="G412">
        <v>86</v>
      </c>
      <c r="H412">
        <v>2074</v>
      </c>
      <c r="I412">
        <v>31</v>
      </c>
      <c r="J412" t="str">
        <f t="shared" si="12"/>
        <v>25–40</v>
      </c>
      <c r="K412" t="s">
        <v>15</v>
      </c>
      <c r="L412">
        <v>5</v>
      </c>
      <c r="M412" t="str">
        <f t="shared" si="13"/>
        <v>Yes</v>
      </c>
      <c r="N412" t="str">
        <f>IF(user_behavior_dataset!$D412&lt;60,"Low",
IF(user_behavior_dataset!$D412&lt;=180,"Medium","High"))</f>
        <v>High</v>
      </c>
      <c r="O412" t="str">
        <f>IF(user_behavior_dataset!$H412&gt;=1341,"Yes","No")</f>
        <v>Yes</v>
      </c>
      <c r="P412" t="str">
        <f>IF(user_behavior_dataset!$F412&gt;=2229,"Yes","No")</f>
        <v>Yes</v>
      </c>
    </row>
    <row r="413" spans="1:16" x14ac:dyDescent="0.3">
      <c r="A413">
        <v>412</v>
      </c>
      <c r="B413" t="s">
        <v>16</v>
      </c>
      <c r="C413" t="s">
        <v>12</v>
      </c>
      <c r="D413">
        <v>575</v>
      </c>
      <c r="E413">
        <v>8.1999999999999993</v>
      </c>
      <c r="F413">
        <v>2918</v>
      </c>
      <c r="G413">
        <v>88</v>
      </c>
      <c r="H413">
        <v>1928</v>
      </c>
      <c r="I413">
        <v>50</v>
      </c>
      <c r="J413" t="str">
        <f t="shared" si="12"/>
        <v>40+</v>
      </c>
      <c r="K413" t="s">
        <v>13</v>
      </c>
      <c r="L413">
        <v>5</v>
      </c>
      <c r="M413" t="str">
        <f t="shared" si="13"/>
        <v>Yes</v>
      </c>
      <c r="N413" t="str">
        <f>IF(user_behavior_dataset!$D413&lt;60,"Low",
IF(user_behavior_dataset!$D413&lt;=180,"Medium","High"))</f>
        <v>High</v>
      </c>
      <c r="O413" t="str">
        <f>IF(user_behavior_dataset!$H413&gt;=1341,"Yes","No")</f>
        <v>Yes</v>
      </c>
      <c r="P413" t="str">
        <f>IF(user_behavior_dataset!$F413&gt;=2229,"Yes","No")</f>
        <v>Yes</v>
      </c>
    </row>
    <row r="414" spans="1:16" x14ac:dyDescent="0.3">
      <c r="A414">
        <v>413</v>
      </c>
      <c r="B414" t="s">
        <v>14</v>
      </c>
      <c r="C414" t="s">
        <v>12</v>
      </c>
      <c r="D414">
        <v>257</v>
      </c>
      <c r="E414">
        <v>5.0999999999999996</v>
      </c>
      <c r="F414">
        <v>1692</v>
      </c>
      <c r="G414">
        <v>46</v>
      </c>
      <c r="H414">
        <v>769</v>
      </c>
      <c r="I414">
        <v>52</v>
      </c>
      <c r="J414" t="str">
        <f t="shared" si="12"/>
        <v>40+</v>
      </c>
      <c r="K414" t="s">
        <v>15</v>
      </c>
      <c r="L414">
        <v>3</v>
      </c>
      <c r="M414" t="str">
        <f t="shared" si="13"/>
        <v>Yes</v>
      </c>
      <c r="N414" t="str">
        <f>IF(user_behavior_dataset!$D414&lt;60,"Low",
IF(user_behavior_dataset!$D414&lt;=180,"Medium","High"))</f>
        <v>High</v>
      </c>
      <c r="O414" t="str">
        <f>IF(user_behavior_dataset!$H414&gt;=1341,"Yes","No")</f>
        <v>No</v>
      </c>
      <c r="P414" t="str">
        <f>IF(user_behavior_dataset!$F414&gt;=2229,"Yes","No")</f>
        <v>No</v>
      </c>
    </row>
    <row r="415" spans="1:16" x14ac:dyDescent="0.3">
      <c r="A415">
        <v>414</v>
      </c>
      <c r="B415" t="s">
        <v>17</v>
      </c>
      <c r="C415" t="s">
        <v>18</v>
      </c>
      <c r="D415">
        <v>270</v>
      </c>
      <c r="E415">
        <v>5</v>
      </c>
      <c r="F415">
        <v>1532</v>
      </c>
      <c r="G415">
        <v>51</v>
      </c>
      <c r="H415">
        <v>957</v>
      </c>
      <c r="I415">
        <v>35</v>
      </c>
      <c r="J415" t="str">
        <f t="shared" si="12"/>
        <v>25–40</v>
      </c>
      <c r="K415" t="s">
        <v>13</v>
      </c>
      <c r="L415">
        <v>3</v>
      </c>
      <c r="M415" t="str">
        <f t="shared" si="13"/>
        <v>Yes</v>
      </c>
      <c r="N415" t="str">
        <f>IF(user_behavior_dataset!$D415&lt;60,"Low",
IF(user_behavior_dataset!$D415&lt;=180,"Medium","High"))</f>
        <v>High</v>
      </c>
      <c r="O415" t="str">
        <f>IF(user_behavior_dataset!$H415&gt;=1341,"Yes","No")</f>
        <v>No</v>
      </c>
      <c r="P415" t="str">
        <f>IF(user_behavior_dataset!$F415&gt;=2229,"Yes","No")</f>
        <v>No</v>
      </c>
    </row>
    <row r="416" spans="1:16" x14ac:dyDescent="0.3">
      <c r="A416">
        <v>415</v>
      </c>
      <c r="B416" t="s">
        <v>11</v>
      </c>
      <c r="C416" t="s">
        <v>12</v>
      </c>
      <c r="D416">
        <v>116</v>
      </c>
      <c r="E416">
        <v>2</v>
      </c>
      <c r="F416">
        <v>1171</v>
      </c>
      <c r="G416">
        <v>22</v>
      </c>
      <c r="H416">
        <v>573</v>
      </c>
      <c r="I416">
        <v>33</v>
      </c>
      <c r="J416" t="str">
        <f t="shared" si="12"/>
        <v>25–40</v>
      </c>
      <c r="K416" t="s">
        <v>15</v>
      </c>
      <c r="L416">
        <v>2</v>
      </c>
      <c r="M416" t="str">
        <f t="shared" si="13"/>
        <v>Yes</v>
      </c>
      <c r="N416" t="str">
        <f>IF(user_behavior_dataset!$D416&lt;60,"Low",
IF(user_behavior_dataset!$D416&lt;=180,"Medium","High"))</f>
        <v>Medium</v>
      </c>
      <c r="O416" t="str">
        <f>IF(user_behavior_dataset!$H416&gt;=1341,"Yes","No")</f>
        <v>No</v>
      </c>
      <c r="P416" t="str">
        <f>IF(user_behavior_dataset!$F416&gt;=2229,"Yes","No")</f>
        <v>No</v>
      </c>
    </row>
    <row r="417" spans="1:16" x14ac:dyDescent="0.3">
      <c r="A417">
        <v>416</v>
      </c>
      <c r="B417" t="s">
        <v>17</v>
      </c>
      <c r="C417" t="s">
        <v>18</v>
      </c>
      <c r="D417">
        <v>98</v>
      </c>
      <c r="E417">
        <v>2.2999999999999998</v>
      </c>
      <c r="F417">
        <v>608</v>
      </c>
      <c r="G417">
        <v>24</v>
      </c>
      <c r="H417">
        <v>394</v>
      </c>
      <c r="I417">
        <v>56</v>
      </c>
      <c r="J417" t="str">
        <f t="shared" si="12"/>
        <v>40+</v>
      </c>
      <c r="K417" t="s">
        <v>13</v>
      </c>
      <c r="L417">
        <v>2</v>
      </c>
      <c r="M417" t="str">
        <f t="shared" si="13"/>
        <v>Yes</v>
      </c>
      <c r="N417" t="str">
        <f>IF(user_behavior_dataset!$D417&lt;60,"Low",
IF(user_behavior_dataset!$D417&lt;=180,"Medium","High"))</f>
        <v>Medium</v>
      </c>
      <c r="O417" t="str">
        <f>IF(user_behavior_dataset!$H417&gt;=1341,"Yes","No")</f>
        <v>No</v>
      </c>
      <c r="P417" t="str">
        <f>IF(user_behavior_dataset!$F417&gt;=2229,"Yes","No")</f>
        <v>No</v>
      </c>
    </row>
    <row r="418" spans="1:16" x14ac:dyDescent="0.3">
      <c r="A418">
        <v>417</v>
      </c>
      <c r="B418" t="s">
        <v>16</v>
      </c>
      <c r="C418" t="s">
        <v>12</v>
      </c>
      <c r="D418">
        <v>264</v>
      </c>
      <c r="E418">
        <v>5.0999999999999996</v>
      </c>
      <c r="F418">
        <v>1293</v>
      </c>
      <c r="G418">
        <v>52</v>
      </c>
      <c r="H418">
        <v>737</v>
      </c>
      <c r="I418">
        <v>27</v>
      </c>
      <c r="J418" t="str">
        <f t="shared" si="12"/>
        <v>25–40</v>
      </c>
      <c r="K418" t="s">
        <v>15</v>
      </c>
      <c r="L418">
        <v>3</v>
      </c>
      <c r="M418" t="str">
        <f t="shared" si="13"/>
        <v>Yes</v>
      </c>
      <c r="N418" t="str">
        <f>IF(user_behavior_dataset!$D418&lt;60,"Low",
IF(user_behavior_dataset!$D418&lt;=180,"Medium","High"))</f>
        <v>High</v>
      </c>
      <c r="O418" t="str">
        <f>IF(user_behavior_dataset!$H418&gt;=1341,"Yes","No")</f>
        <v>No</v>
      </c>
      <c r="P418" t="str">
        <f>IF(user_behavior_dataset!$F418&gt;=2229,"Yes","No")</f>
        <v>No</v>
      </c>
    </row>
    <row r="419" spans="1:16" x14ac:dyDescent="0.3">
      <c r="A419">
        <v>418</v>
      </c>
      <c r="B419" t="s">
        <v>19</v>
      </c>
      <c r="C419" t="s">
        <v>12</v>
      </c>
      <c r="D419">
        <v>572</v>
      </c>
      <c r="E419">
        <v>11.7</v>
      </c>
      <c r="F419">
        <v>2655</v>
      </c>
      <c r="G419">
        <v>91</v>
      </c>
      <c r="H419">
        <v>2481</v>
      </c>
      <c r="I419">
        <v>57</v>
      </c>
      <c r="J419" t="str">
        <f t="shared" si="12"/>
        <v>40+</v>
      </c>
      <c r="K419" t="s">
        <v>15</v>
      </c>
      <c r="L419">
        <v>5</v>
      </c>
      <c r="M419" t="str">
        <f t="shared" si="13"/>
        <v>Yes</v>
      </c>
      <c r="N419" t="str">
        <f>IF(user_behavior_dataset!$D419&lt;60,"Low",
IF(user_behavior_dataset!$D419&lt;=180,"Medium","High"))</f>
        <v>High</v>
      </c>
      <c r="O419" t="str">
        <f>IF(user_behavior_dataset!$H419&gt;=1341,"Yes","No")</f>
        <v>Yes</v>
      </c>
      <c r="P419" t="str">
        <f>IF(user_behavior_dataset!$F419&gt;=2229,"Yes","No")</f>
        <v>Yes</v>
      </c>
    </row>
    <row r="420" spans="1:16" x14ac:dyDescent="0.3">
      <c r="A420">
        <v>419</v>
      </c>
      <c r="B420" t="s">
        <v>16</v>
      </c>
      <c r="C420" t="s">
        <v>12</v>
      </c>
      <c r="D420">
        <v>202</v>
      </c>
      <c r="E420">
        <v>4.9000000000000004</v>
      </c>
      <c r="F420">
        <v>1549</v>
      </c>
      <c r="G420">
        <v>43</v>
      </c>
      <c r="H420">
        <v>964</v>
      </c>
      <c r="I420">
        <v>27</v>
      </c>
      <c r="J420" t="str">
        <f t="shared" si="12"/>
        <v>25–40</v>
      </c>
      <c r="K420" t="s">
        <v>15</v>
      </c>
      <c r="L420">
        <v>3</v>
      </c>
      <c r="M420" t="str">
        <f t="shared" si="13"/>
        <v>Yes</v>
      </c>
      <c r="N420" t="str">
        <f>IF(user_behavior_dataset!$D420&lt;60,"Low",
IF(user_behavior_dataset!$D420&lt;=180,"Medium","High"))</f>
        <v>High</v>
      </c>
      <c r="O420" t="str">
        <f>IF(user_behavior_dataset!$H420&gt;=1341,"Yes","No")</f>
        <v>No</v>
      </c>
      <c r="P420" t="str">
        <f>IF(user_behavior_dataset!$F420&gt;=2229,"Yes","No")</f>
        <v>No</v>
      </c>
    </row>
    <row r="421" spans="1:16" x14ac:dyDescent="0.3">
      <c r="A421">
        <v>420</v>
      </c>
      <c r="B421" t="s">
        <v>17</v>
      </c>
      <c r="C421" t="s">
        <v>18</v>
      </c>
      <c r="D421">
        <v>83</v>
      </c>
      <c r="E421">
        <v>1.4</v>
      </c>
      <c r="F421">
        <v>454</v>
      </c>
      <c r="G421">
        <v>11</v>
      </c>
      <c r="H421">
        <v>228</v>
      </c>
      <c r="I421">
        <v>46</v>
      </c>
      <c r="J421" t="str">
        <f t="shared" si="12"/>
        <v>40+</v>
      </c>
      <c r="K421" t="s">
        <v>13</v>
      </c>
      <c r="L421">
        <v>1</v>
      </c>
      <c r="M421" t="str">
        <f t="shared" si="13"/>
        <v>Yes</v>
      </c>
      <c r="N421" t="str">
        <f>IF(user_behavior_dataset!$D421&lt;60,"Low",
IF(user_behavior_dataset!$D421&lt;=180,"Medium","High"))</f>
        <v>Medium</v>
      </c>
      <c r="O421" t="str">
        <f>IF(user_behavior_dataset!$H421&gt;=1341,"Yes","No")</f>
        <v>No</v>
      </c>
      <c r="P421" t="str">
        <f>IF(user_behavior_dataset!$F421&gt;=2229,"Yes","No")</f>
        <v>No</v>
      </c>
    </row>
    <row r="422" spans="1:16" x14ac:dyDescent="0.3">
      <c r="A422">
        <v>421</v>
      </c>
      <c r="B422" t="s">
        <v>17</v>
      </c>
      <c r="C422" t="s">
        <v>18</v>
      </c>
      <c r="D422">
        <v>32</v>
      </c>
      <c r="E422">
        <v>1.4</v>
      </c>
      <c r="F422">
        <v>416</v>
      </c>
      <c r="G422">
        <v>12</v>
      </c>
      <c r="H422">
        <v>198</v>
      </c>
      <c r="I422">
        <v>56</v>
      </c>
      <c r="J422" t="str">
        <f t="shared" si="12"/>
        <v>40+</v>
      </c>
      <c r="K422" t="s">
        <v>13</v>
      </c>
      <c r="L422">
        <v>1</v>
      </c>
      <c r="M422" t="str">
        <f t="shared" si="13"/>
        <v>No</v>
      </c>
      <c r="N422" t="str">
        <f>IF(user_behavior_dataset!$D422&lt;60,"Low",
IF(user_behavior_dataset!$D422&lt;=180,"Medium","High"))</f>
        <v>Low</v>
      </c>
      <c r="O422" t="str">
        <f>IF(user_behavior_dataset!$H422&gt;=1341,"Yes","No")</f>
        <v>No</v>
      </c>
      <c r="P422" t="str">
        <f>IF(user_behavior_dataset!$F422&gt;=2229,"Yes","No")</f>
        <v>No</v>
      </c>
    </row>
    <row r="423" spans="1:16" x14ac:dyDescent="0.3">
      <c r="A423">
        <v>422</v>
      </c>
      <c r="B423" t="s">
        <v>17</v>
      </c>
      <c r="C423" t="s">
        <v>18</v>
      </c>
      <c r="D423">
        <v>168</v>
      </c>
      <c r="E423">
        <v>3.2</v>
      </c>
      <c r="F423">
        <v>716</v>
      </c>
      <c r="G423">
        <v>38</v>
      </c>
      <c r="H423">
        <v>414</v>
      </c>
      <c r="I423">
        <v>43</v>
      </c>
      <c r="J423" t="str">
        <f t="shared" si="12"/>
        <v>40+</v>
      </c>
      <c r="K423" t="s">
        <v>13</v>
      </c>
      <c r="L423">
        <v>2</v>
      </c>
      <c r="M423" t="str">
        <f t="shared" si="13"/>
        <v>Yes</v>
      </c>
      <c r="N423" t="str">
        <f>IF(user_behavior_dataset!$D423&lt;60,"Low",
IF(user_behavior_dataset!$D423&lt;=180,"Medium","High"))</f>
        <v>Medium</v>
      </c>
      <c r="O423" t="str">
        <f>IF(user_behavior_dataset!$H423&gt;=1341,"Yes","No")</f>
        <v>No</v>
      </c>
      <c r="P423" t="str">
        <f>IF(user_behavior_dataset!$F423&gt;=2229,"Yes","No")</f>
        <v>No</v>
      </c>
    </row>
    <row r="424" spans="1:16" x14ac:dyDescent="0.3">
      <c r="A424">
        <v>423</v>
      </c>
      <c r="B424" t="s">
        <v>17</v>
      </c>
      <c r="C424" t="s">
        <v>18</v>
      </c>
      <c r="D424">
        <v>416</v>
      </c>
      <c r="E424">
        <v>6.1</v>
      </c>
      <c r="F424">
        <v>2115</v>
      </c>
      <c r="G424">
        <v>71</v>
      </c>
      <c r="H424">
        <v>1041</v>
      </c>
      <c r="I424">
        <v>22</v>
      </c>
      <c r="J424" t="str">
        <f t="shared" si="12"/>
        <v>&lt;25</v>
      </c>
      <c r="K424" t="s">
        <v>15</v>
      </c>
      <c r="L424">
        <v>4</v>
      </c>
      <c r="M424" t="str">
        <f t="shared" si="13"/>
        <v>Yes</v>
      </c>
      <c r="N424" t="str">
        <f>IF(user_behavior_dataset!$D424&lt;60,"Low",
IF(user_behavior_dataset!$D424&lt;=180,"Medium","High"))</f>
        <v>High</v>
      </c>
      <c r="O424" t="str">
        <f>IF(user_behavior_dataset!$H424&gt;=1341,"Yes","No")</f>
        <v>No</v>
      </c>
      <c r="P424" t="str">
        <f>IF(user_behavior_dataset!$F424&gt;=2229,"Yes","No")</f>
        <v>No</v>
      </c>
    </row>
    <row r="425" spans="1:16" x14ac:dyDescent="0.3">
      <c r="A425">
        <v>424</v>
      </c>
      <c r="B425" t="s">
        <v>16</v>
      </c>
      <c r="C425" t="s">
        <v>12</v>
      </c>
      <c r="D425">
        <v>46</v>
      </c>
      <c r="E425">
        <v>1.1000000000000001</v>
      </c>
      <c r="F425">
        <v>536</v>
      </c>
      <c r="G425">
        <v>18</v>
      </c>
      <c r="H425">
        <v>167</v>
      </c>
      <c r="I425">
        <v>28</v>
      </c>
      <c r="J425" t="str">
        <f t="shared" si="12"/>
        <v>25–40</v>
      </c>
      <c r="K425" t="s">
        <v>15</v>
      </c>
      <c r="L425">
        <v>1</v>
      </c>
      <c r="M425" t="str">
        <f t="shared" si="13"/>
        <v>No</v>
      </c>
      <c r="N425" t="str">
        <f>IF(user_behavior_dataset!$D425&lt;60,"Low",
IF(user_behavior_dataset!$D425&lt;=180,"Medium","High"))</f>
        <v>Low</v>
      </c>
      <c r="O425" t="str">
        <f>IF(user_behavior_dataset!$H425&gt;=1341,"Yes","No")</f>
        <v>No</v>
      </c>
      <c r="P425" t="str">
        <f>IF(user_behavior_dataset!$F425&gt;=2229,"Yes","No")</f>
        <v>No</v>
      </c>
    </row>
    <row r="426" spans="1:16" x14ac:dyDescent="0.3">
      <c r="A426">
        <v>425</v>
      </c>
      <c r="B426" t="s">
        <v>14</v>
      </c>
      <c r="C426" t="s">
        <v>12</v>
      </c>
      <c r="D426">
        <v>201</v>
      </c>
      <c r="E426">
        <v>5</v>
      </c>
      <c r="F426">
        <v>1482</v>
      </c>
      <c r="G426">
        <v>59</v>
      </c>
      <c r="H426">
        <v>709</v>
      </c>
      <c r="I426">
        <v>24</v>
      </c>
      <c r="J426" t="str">
        <f t="shared" si="12"/>
        <v>&lt;25</v>
      </c>
      <c r="K426" t="s">
        <v>13</v>
      </c>
      <c r="L426">
        <v>3</v>
      </c>
      <c r="M426" t="str">
        <f t="shared" si="13"/>
        <v>Yes</v>
      </c>
      <c r="N426" t="str">
        <f>IF(user_behavior_dataset!$D426&lt;60,"Low",
IF(user_behavior_dataset!$D426&lt;=180,"Medium","High"))</f>
        <v>High</v>
      </c>
      <c r="O426" t="str">
        <f>IF(user_behavior_dataset!$H426&gt;=1341,"Yes","No")</f>
        <v>No</v>
      </c>
      <c r="P426" t="str">
        <f>IF(user_behavior_dataset!$F426&gt;=2229,"Yes","No")</f>
        <v>No</v>
      </c>
    </row>
    <row r="427" spans="1:16" x14ac:dyDescent="0.3">
      <c r="A427">
        <v>426</v>
      </c>
      <c r="B427" t="s">
        <v>19</v>
      </c>
      <c r="C427" t="s">
        <v>12</v>
      </c>
      <c r="D427">
        <v>130</v>
      </c>
      <c r="E427">
        <v>2.8</v>
      </c>
      <c r="F427">
        <v>1062</v>
      </c>
      <c r="G427">
        <v>24</v>
      </c>
      <c r="H427">
        <v>579</v>
      </c>
      <c r="I427">
        <v>37</v>
      </c>
      <c r="J427" t="str">
        <f t="shared" si="12"/>
        <v>25–40</v>
      </c>
      <c r="K427" t="s">
        <v>13</v>
      </c>
      <c r="L427">
        <v>2</v>
      </c>
      <c r="M427" t="str">
        <f t="shared" si="13"/>
        <v>Yes</v>
      </c>
      <c r="N427" t="str">
        <f>IF(user_behavior_dataset!$D427&lt;60,"Low",
IF(user_behavior_dataset!$D427&lt;=180,"Medium","High"))</f>
        <v>Medium</v>
      </c>
      <c r="O427" t="str">
        <f>IF(user_behavior_dataset!$H427&gt;=1341,"Yes","No")</f>
        <v>No</v>
      </c>
      <c r="P427" t="str">
        <f>IF(user_behavior_dataset!$F427&gt;=2229,"Yes","No")</f>
        <v>No</v>
      </c>
    </row>
    <row r="428" spans="1:16" x14ac:dyDescent="0.3">
      <c r="A428">
        <v>427</v>
      </c>
      <c r="B428" t="s">
        <v>14</v>
      </c>
      <c r="C428" t="s">
        <v>12</v>
      </c>
      <c r="D428">
        <v>98</v>
      </c>
      <c r="E428">
        <v>2.4</v>
      </c>
      <c r="F428">
        <v>747</v>
      </c>
      <c r="G428">
        <v>36</v>
      </c>
      <c r="H428">
        <v>403</v>
      </c>
      <c r="I428">
        <v>44</v>
      </c>
      <c r="J428" t="str">
        <f t="shared" si="12"/>
        <v>40+</v>
      </c>
      <c r="K428" t="s">
        <v>15</v>
      </c>
      <c r="L428">
        <v>2</v>
      </c>
      <c r="M428" t="str">
        <f t="shared" si="13"/>
        <v>Yes</v>
      </c>
      <c r="N428" t="str">
        <f>IF(user_behavior_dataset!$D428&lt;60,"Low",
IF(user_behavior_dataset!$D428&lt;=180,"Medium","High"))</f>
        <v>Medium</v>
      </c>
      <c r="O428" t="str">
        <f>IF(user_behavior_dataset!$H428&gt;=1341,"Yes","No")</f>
        <v>No</v>
      </c>
      <c r="P428" t="str">
        <f>IF(user_behavior_dataset!$F428&gt;=2229,"Yes","No")</f>
        <v>No</v>
      </c>
    </row>
    <row r="429" spans="1:16" x14ac:dyDescent="0.3">
      <c r="A429">
        <v>428</v>
      </c>
      <c r="B429" t="s">
        <v>14</v>
      </c>
      <c r="C429" t="s">
        <v>12</v>
      </c>
      <c r="D429">
        <v>105</v>
      </c>
      <c r="E429">
        <v>3.8</v>
      </c>
      <c r="F429">
        <v>967</v>
      </c>
      <c r="G429">
        <v>28</v>
      </c>
      <c r="H429">
        <v>489</v>
      </c>
      <c r="I429">
        <v>51</v>
      </c>
      <c r="J429" t="str">
        <f t="shared" si="12"/>
        <v>40+</v>
      </c>
      <c r="K429" t="s">
        <v>13</v>
      </c>
      <c r="L429">
        <v>2</v>
      </c>
      <c r="M429" t="str">
        <f t="shared" si="13"/>
        <v>Yes</v>
      </c>
      <c r="N429" t="str">
        <f>IF(user_behavior_dataset!$D429&lt;60,"Low",
IF(user_behavior_dataset!$D429&lt;=180,"Medium","High"))</f>
        <v>Medium</v>
      </c>
      <c r="O429" t="str">
        <f>IF(user_behavior_dataset!$H429&gt;=1341,"Yes","No")</f>
        <v>No</v>
      </c>
      <c r="P429" t="str">
        <f>IF(user_behavior_dataset!$F429&gt;=2229,"Yes","No")</f>
        <v>No</v>
      </c>
    </row>
    <row r="430" spans="1:16" x14ac:dyDescent="0.3">
      <c r="A430">
        <v>429</v>
      </c>
      <c r="B430" t="s">
        <v>16</v>
      </c>
      <c r="C430" t="s">
        <v>12</v>
      </c>
      <c r="D430">
        <v>94</v>
      </c>
      <c r="E430">
        <v>2.2999999999999998</v>
      </c>
      <c r="F430">
        <v>1033</v>
      </c>
      <c r="G430">
        <v>33</v>
      </c>
      <c r="H430">
        <v>369</v>
      </c>
      <c r="I430">
        <v>58</v>
      </c>
      <c r="J430" t="str">
        <f t="shared" si="12"/>
        <v>40+</v>
      </c>
      <c r="K430" t="s">
        <v>13</v>
      </c>
      <c r="L430">
        <v>2</v>
      </c>
      <c r="M430" t="str">
        <f t="shared" si="13"/>
        <v>Yes</v>
      </c>
      <c r="N430" t="str">
        <f>IF(user_behavior_dataset!$D430&lt;60,"Low",
IF(user_behavior_dataset!$D430&lt;=180,"Medium","High"))</f>
        <v>Medium</v>
      </c>
      <c r="O430" t="str">
        <f>IF(user_behavior_dataset!$H430&gt;=1341,"Yes","No")</f>
        <v>No</v>
      </c>
      <c r="P430" t="str">
        <f>IF(user_behavior_dataset!$F430&gt;=2229,"Yes","No")</f>
        <v>No</v>
      </c>
    </row>
    <row r="431" spans="1:16" x14ac:dyDescent="0.3">
      <c r="A431">
        <v>430</v>
      </c>
      <c r="B431" t="s">
        <v>16</v>
      </c>
      <c r="C431" t="s">
        <v>12</v>
      </c>
      <c r="D431">
        <v>540</v>
      </c>
      <c r="E431">
        <v>10.1</v>
      </c>
      <c r="F431">
        <v>2757</v>
      </c>
      <c r="G431">
        <v>90</v>
      </c>
      <c r="H431">
        <v>2180</v>
      </c>
      <c r="I431">
        <v>37</v>
      </c>
      <c r="J431" t="str">
        <f t="shared" si="12"/>
        <v>25–40</v>
      </c>
      <c r="K431" t="s">
        <v>13</v>
      </c>
      <c r="L431">
        <v>5</v>
      </c>
      <c r="M431" t="str">
        <f t="shared" si="13"/>
        <v>Yes</v>
      </c>
      <c r="N431" t="str">
        <f>IF(user_behavior_dataset!$D431&lt;60,"Low",
IF(user_behavior_dataset!$D431&lt;=180,"Medium","High"))</f>
        <v>High</v>
      </c>
      <c r="O431" t="str">
        <f>IF(user_behavior_dataset!$H431&gt;=1341,"Yes","No")</f>
        <v>Yes</v>
      </c>
      <c r="P431" t="str">
        <f>IF(user_behavior_dataset!$F431&gt;=2229,"Yes","No")</f>
        <v>Yes</v>
      </c>
    </row>
    <row r="432" spans="1:16" x14ac:dyDescent="0.3">
      <c r="A432">
        <v>431</v>
      </c>
      <c r="B432" t="s">
        <v>17</v>
      </c>
      <c r="C432" t="s">
        <v>18</v>
      </c>
      <c r="D432">
        <v>266</v>
      </c>
      <c r="E432">
        <v>5.5</v>
      </c>
      <c r="F432">
        <v>1238</v>
      </c>
      <c r="G432">
        <v>59</v>
      </c>
      <c r="H432">
        <v>839</v>
      </c>
      <c r="I432">
        <v>22</v>
      </c>
      <c r="J432" t="str">
        <f t="shared" si="12"/>
        <v>&lt;25</v>
      </c>
      <c r="K432" t="s">
        <v>13</v>
      </c>
      <c r="L432">
        <v>3</v>
      </c>
      <c r="M432" t="str">
        <f t="shared" si="13"/>
        <v>Yes</v>
      </c>
      <c r="N432" t="str">
        <f>IF(user_behavior_dataset!$D432&lt;60,"Low",
IF(user_behavior_dataset!$D432&lt;=180,"Medium","High"))</f>
        <v>High</v>
      </c>
      <c r="O432" t="str">
        <f>IF(user_behavior_dataset!$H432&gt;=1341,"Yes","No")</f>
        <v>No</v>
      </c>
      <c r="P432" t="str">
        <f>IF(user_behavior_dataset!$F432&gt;=2229,"Yes","No")</f>
        <v>No</v>
      </c>
    </row>
    <row r="433" spans="1:16" x14ac:dyDescent="0.3">
      <c r="A433">
        <v>432</v>
      </c>
      <c r="B433" t="s">
        <v>17</v>
      </c>
      <c r="C433" t="s">
        <v>18</v>
      </c>
      <c r="D433">
        <v>140</v>
      </c>
      <c r="E433">
        <v>3.8</v>
      </c>
      <c r="F433">
        <v>1137</v>
      </c>
      <c r="G433">
        <v>36</v>
      </c>
      <c r="H433">
        <v>506</v>
      </c>
      <c r="I433">
        <v>53</v>
      </c>
      <c r="J433" t="str">
        <f t="shared" si="12"/>
        <v>40+</v>
      </c>
      <c r="K433" t="s">
        <v>13</v>
      </c>
      <c r="L433">
        <v>2</v>
      </c>
      <c r="M433" t="str">
        <f t="shared" si="13"/>
        <v>Yes</v>
      </c>
      <c r="N433" t="str">
        <f>IF(user_behavior_dataset!$D433&lt;60,"Low",
IF(user_behavior_dataset!$D433&lt;=180,"Medium","High"))</f>
        <v>Medium</v>
      </c>
      <c r="O433" t="str">
        <f>IF(user_behavior_dataset!$H433&gt;=1341,"Yes","No")</f>
        <v>No</v>
      </c>
      <c r="P433" t="str">
        <f>IF(user_behavior_dataset!$F433&gt;=2229,"Yes","No")</f>
        <v>No</v>
      </c>
    </row>
    <row r="434" spans="1:16" x14ac:dyDescent="0.3">
      <c r="A434">
        <v>433</v>
      </c>
      <c r="B434" t="s">
        <v>11</v>
      </c>
      <c r="C434" t="s">
        <v>12</v>
      </c>
      <c r="D434">
        <v>534</v>
      </c>
      <c r="E434">
        <v>10.4</v>
      </c>
      <c r="F434">
        <v>2672</v>
      </c>
      <c r="G434">
        <v>90</v>
      </c>
      <c r="H434">
        <v>1702</v>
      </c>
      <c r="I434">
        <v>51</v>
      </c>
      <c r="J434" t="str">
        <f t="shared" si="12"/>
        <v>40+</v>
      </c>
      <c r="K434" t="s">
        <v>13</v>
      </c>
      <c r="L434">
        <v>5</v>
      </c>
      <c r="M434" t="str">
        <f t="shared" si="13"/>
        <v>Yes</v>
      </c>
      <c r="N434" t="str">
        <f>IF(user_behavior_dataset!$D434&lt;60,"Low",
IF(user_behavior_dataset!$D434&lt;=180,"Medium","High"))</f>
        <v>High</v>
      </c>
      <c r="O434" t="str">
        <f>IF(user_behavior_dataset!$H434&gt;=1341,"Yes","No")</f>
        <v>Yes</v>
      </c>
      <c r="P434" t="str">
        <f>IF(user_behavior_dataset!$F434&gt;=2229,"Yes","No")</f>
        <v>Yes</v>
      </c>
    </row>
    <row r="435" spans="1:16" x14ac:dyDescent="0.3">
      <c r="A435">
        <v>434</v>
      </c>
      <c r="B435" t="s">
        <v>14</v>
      </c>
      <c r="C435" t="s">
        <v>12</v>
      </c>
      <c r="D435">
        <v>46</v>
      </c>
      <c r="E435">
        <v>2</v>
      </c>
      <c r="F435">
        <v>309</v>
      </c>
      <c r="G435">
        <v>15</v>
      </c>
      <c r="H435">
        <v>116</v>
      </c>
      <c r="I435">
        <v>42</v>
      </c>
      <c r="J435" t="str">
        <f t="shared" si="12"/>
        <v>40+</v>
      </c>
      <c r="K435" t="s">
        <v>13</v>
      </c>
      <c r="L435">
        <v>1</v>
      </c>
      <c r="M435" t="str">
        <f t="shared" si="13"/>
        <v>No</v>
      </c>
      <c r="N435" t="str">
        <f>IF(user_behavior_dataset!$D435&lt;60,"Low",
IF(user_behavior_dataset!$D435&lt;=180,"Medium","High"))</f>
        <v>Low</v>
      </c>
      <c r="O435" t="str">
        <f>IF(user_behavior_dataset!$H435&gt;=1341,"Yes","No")</f>
        <v>No</v>
      </c>
      <c r="P435" t="str">
        <f>IF(user_behavior_dataset!$F435&gt;=2229,"Yes","No")</f>
        <v>No</v>
      </c>
    </row>
    <row r="436" spans="1:16" x14ac:dyDescent="0.3">
      <c r="A436">
        <v>435</v>
      </c>
      <c r="B436" t="s">
        <v>17</v>
      </c>
      <c r="C436" t="s">
        <v>18</v>
      </c>
      <c r="D436">
        <v>581</v>
      </c>
      <c r="E436">
        <v>8.4</v>
      </c>
      <c r="F436">
        <v>2591</v>
      </c>
      <c r="G436">
        <v>99</v>
      </c>
      <c r="H436">
        <v>2304</v>
      </c>
      <c r="I436">
        <v>58</v>
      </c>
      <c r="J436" t="str">
        <f t="shared" si="12"/>
        <v>40+</v>
      </c>
      <c r="K436" t="s">
        <v>13</v>
      </c>
      <c r="L436">
        <v>5</v>
      </c>
      <c r="M436" t="str">
        <f t="shared" si="13"/>
        <v>Yes</v>
      </c>
      <c r="N436" t="str">
        <f>IF(user_behavior_dataset!$D436&lt;60,"Low",
IF(user_behavior_dataset!$D436&lt;=180,"Medium","High"))</f>
        <v>High</v>
      </c>
      <c r="O436" t="str">
        <f>IF(user_behavior_dataset!$H436&gt;=1341,"Yes","No")</f>
        <v>Yes</v>
      </c>
      <c r="P436" t="str">
        <f>IF(user_behavior_dataset!$F436&gt;=2229,"Yes","No")</f>
        <v>Yes</v>
      </c>
    </row>
    <row r="437" spans="1:16" x14ac:dyDescent="0.3">
      <c r="A437">
        <v>436</v>
      </c>
      <c r="B437" t="s">
        <v>16</v>
      </c>
      <c r="C437" t="s">
        <v>12</v>
      </c>
      <c r="D437">
        <v>105</v>
      </c>
      <c r="E437">
        <v>3.4</v>
      </c>
      <c r="F437">
        <v>798</v>
      </c>
      <c r="G437">
        <v>21</v>
      </c>
      <c r="H437">
        <v>467</v>
      </c>
      <c r="I437">
        <v>34</v>
      </c>
      <c r="J437" t="str">
        <f t="shared" si="12"/>
        <v>25–40</v>
      </c>
      <c r="K437" t="s">
        <v>15</v>
      </c>
      <c r="L437">
        <v>2</v>
      </c>
      <c r="M437" t="str">
        <f t="shared" si="13"/>
        <v>Yes</v>
      </c>
      <c r="N437" t="str">
        <f>IF(user_behavior_dataset!$D437&lt;60,"Low",
IF(user_behavior_dataset!$D437&lt;=180,"Medium","High"))</f>
        <v>Medium</v>
      </c>
      <c r="O437" t="str">
        <f>IF(user_behavior_dataset!$H437&gt;=1341,"Yes","No")</f>
        <v>No</v>
      </c>
      <c r="P437" t="str">
        <f>IF(user_behavior_dataset!$F437&gt;=2229,"Yes","No")</f>
        <v>No</v>
      </c>
    </row>
    <row r="438" spans="1:16" x14ac:dyDescent="0.3">
      <c r="A438">
        <v>437</v>
      </c>
      <c r="B438" t="s">
        <v>14</v>
      </c>
      <c r="C438" t="s">
        <v>12</v>
      </c>
      <c r="D438">
        <v>221</v>
      </c>
      <c r="E438">
        <v>4.4000000000000004</v>
      </c>
      <c r="F438">
        <v>1341</v>
      </c>
      <c r="G438">
        <v>46</v>
      </c>
      <c r="H438">
        <v>862</v>
      </c>
      <c r="I438">
        <v>20</v>
      </c>
      <c r="J438" t="str">
        <f t="shared" si="12"/>
        <v>&lt;25</v>
      </c>
      <c r="K438" t="s">
        <v>13</v>
      </c>
      <c r="L438">
        <v>3</v>
      </c>
      <c r="M438" t="str">
        <f t="shared" si="13"/>
        <v>Yes</v>
      </c>
      <c r="N438" t="str">
        <f>IF(user_behavior_dataset!$D438&lt;60,"Low",
IF(user_behavior_dataset!$D438&lt;=180,"Medium","High"))</f>
        <v>High</v>
      </c>
      <c r="O438" t="str">
        <f>IF(user_behavior_dataset!$H438&gt;=1341,"Yes","No")</f>
        <v>No</v>
      </c>
      <c r="P438" t="str">
        <f>IF(user_behavior_dataset!$F438&gt;=2229,"Yes","No")</f>
        <v>No</v>
      </c>
    </row>
    <row r="439" spans="1:16" x14ac:dyDescent="0.3">
      <c r="A439">
        <v>438</v>
      </c>
      <c r="B439" t="s">
        <v>17</v>
      </c>
      <c r="C439" t="s">
        <v>18</v>
      </c>
      <c r="D439">
        <v>41</v>
      </c>
      <c r="E439">
        <v>1.7</v>
      </c>
      <c r="F439">
        <v>408</v>
      </c>
      <c r="G439">
        <v>16</v>
      </c>
      <c r="H439">
        <v>291</v>
      </c>
      <c r="I439">
        <v>34</v>
      </c>
      <c r="J439" t="str">
        <f t="shared" si="12"/>
        <v>25–40</v>
      </c>
      <c r="K439" t="s">
        <v>13</v>
      </c>
      <c r="L439">
        <v>1</v>
      </c>
      <c r="M439" t="str">
        <f t="shared" si="13"/>
        <v>No</v>
      </c>
      <c r="N439" t="str">
        <f>IF(user_behavior_dataset!$D439&lt;60,"Low",
IF(user_behavior_dataset!$D439&lt;=180,"Medium","High"))</f>
        <v>Low</v>
      </c>
      <c r="O439" t="str">
        <f>IF(user_behavior_dataset!$H439&gt;=1341,"Yes","No")</f>
        <v>No</v>
      </c>
      <c r="P439" t="str">
        <f>IF(user_behavior_dataset!$F439&gt;=2229,"Yes","No")</f>
        <v>No</v>
      </c>
    </row>
    <row r="440" spans="1:16" x14ac:dyDescent="0.3">
      <c r="A440">
        <v>439</v>
      </c>
      <c r="B440" t="s">
        <v>14</v>
      </c>
      <c r="C440" t="s">
        <v>12</v>
      </c>
      <c r="D440">
        <v>105</v>
      </c>
      <c r="E440">
        <v>3</v>
      </c>
      <c r="F440">
        <v>728</v>
      </c>
      <c r="G440">
        <v>24</v>
      </c>
      <c r="H440">
        <v>343</v>
      </c>
      <c r="I440">
        <v>52</v>
      </c>
      <c r="J440" t="str">
        <f t="shared" si="12"/>
        <v>40+</v>
      </c>
      <c r="K440" t="s">
        <v>15</v>
      </c>
      <c r="L440">
        <v>2</v>
      </c>
      <c r="M440" t="str">
        <f t="shared" si="13"/>
        <v>Yes</v>
      </c>
      <c r="N440" t="str">
        <f>IF(user_behavior_dataset!$D440&lt;60,"Low",
IF(user_behavior_dataset!$D440&lt;=180,"Medium","High"))</f>
        <v>Medium</v>
      </c>
      <c r="O440" t="str">
        <f>IF(user_behavior_dataset!$H440&gt;=1341,"Yes","No")</f>
        <v>No</v>
      </c>
      <c r="P440" t="str">
        <f>IF(user_behavior_dataset!$F440&gt;=2229,"Yes","No")</f>
        <v>No</v>
      </c>
    </row>
    <row r="441" spans="1:16" x14ac:dyDescent="0.3">
      <c r="A441">
        <v>440</v>
      </c>
      <c r="B441" t="s">
        <v>11</v>
      </c>
      <c r="C441" t="s">
        <v>12</v>
      </c>
      <c r="D441">
        <v>123</v>
      </c>
      <c r="E441">
        <v>3.9</v>
      </c>
      <c r="F441">
        <v>915</v>
      </c>
      <c r="G441">
        <v>39</v>
      </c>
      <c r="H441">
        <v>468</v>
      </c>
      <c r="I441">
        <v>18</v>
      </c>
      <c r="J441" t="str">
        <f t="shared" si="12"/>
        <v>&lt;25</v>
      </c>
      <c r="K441" t="s">
        <v>13</v>
      </c>
      <c r="L441">
        <v>2</v>
      </c>
      <c r="M441" t="str">
        <f t="shared" si="13"/>
        <v>Yes</v>
      </c>
      <c r="N441" t="str">
        <f>IF(user_behavior_dataset!$D441&lt;60,"Low",
IF(user_behavior_dataset!$D441&lt;=180,"Medium","High"))</f>
        <v>Medium</v>
      </c>
      <c r="O441" t="str">
        <f>IF(user_behavior_dataset!$H441&gt;=1341,"Yes","No")</f>
        <v>No</v>
      </c>
      <c r="P441" t="str">
        <f>IF(user_behavior_dataset!$F441&gt;=2229,"Yes","No")</f>
        <v>No</v>
      </c>
    </row>
    <row r="442" spans="1:16" x14ac:dyDescent="0.3">
      <c r="A442">
        <v>441</v>
      </c>
      <c r="B442" t="s">
        <v>11</v>
      </c>
      <c r="C442" t="s">
        <v>12</v>
      </c>
      <c r="D442">
        <v>260</v>
      </c>
      <c r="E442">
        <v>5.7</v>
      </c>
      <c r="F442">
        <v>1725</v>
      </c>
      <c r="G442">
        <v>56</v>
      </c>
      <c r="H442">
        <v>920</v>
      </c>
      <c r="I442">
        <v>36</v>
      </c>
      <c r="J442" t="str">
        <f t="shared" si="12"/>
        <v>25–40</v>
      </c>
      <c r="K442" t="s">
        <v>15</v>
      </c>
      <c r="L442">
        <v>3</v>
      </c>
      <c r="M442" t="str">
        <f t="shared" si="13"/>
        <v>Yes</v>
      </c>
      <c r="N442" t="str">
        <f>IF(user_behavior_dataset!$D442&lt;60,"Low",
IF(user_behavior_dataset!$D442&lt;=180,"Medium","High"))</f>
        <v>High</v>
      </c>
      <c r="O442" t="str">
        <f>IF(user_behavior_dataset!$H442&gt;=1341,"Yes","No")</f>
        <v>No</v>
      </c>
      <c r="P442" t="str">
        <f>IF(user_behavior_dataset!$F442&gt;=2229,"Yes","No")</f>
        <v>No</v>
      </c>
    </row>
    <row r="443" spans="1:16" x14ac:dyDescent="0.3">
      <c r="A443">
        <v>442</v>
      </c>
      <c r="B443" t="s">
        <v>19</v>
      </c>
      <c r="C443" t="s">
        <v>12</v>
      </c>
      <c r="D443">
        <v>223</v>
      </c>
      <c r="E443">
        <v>5.7</v>
      </c>
      <c r="F443">
        <v>1295</v>
      </c>
      <c r="G443">
        <v>44</v>
      </c>
      <c r="H443">
        <v>751</v>
      </c>
      <c r="I443">
        <v>39</v>
      </c>
      <c r="J443" t="str">
        <f t="shared" si="12"/>
        <v>25–40</v>
      </c>
      <c r="K443" t="s">
        <v>13</v>
      </c>
      <c r="L443">
        <v>3</v>
      </c>
      <c r="M443" t="str">
        <f t="shared" si="13"/>
        <v>Yes</v>
      </c>
      <c r="N443" t="str">
        <f>IF(user_behavior_dataset!$D443&lt;60,"Low",
IF(user_behavior_dataset!$D443&lt;=180,"Medium","High"))</f>
        <v>High</v>
      </c>
      <c r="O443" t="str">
        <f>IF(user_behavior_dataset!$H443&gt;=1341,"Yes","No")</f>
        <v>No</v>
      </c>
      <c r="P443" t="str">
        <f>IF(user_behavior_dataset!$F443&gt;=2229,"Yes","No")</f>
        <v>No</v>
      </c>
    </row>
    <row r="444" spans="1:16" x14ac:dyDescent="0.3">
      <c r="A444">
        <v>443</v>
      </c>
      <c r="B444" t="s">
        <v>11</v>
      </c>
      <c r="C444" t="s">
        <v>12</v>
      </c>
      <c r="D444">
        <v>66</v>
      </c>
      <c r="E444">
        <v>1.1000000000000001</v>
      </c>
      <c r="F444">
        <v>505</v>
      </c>
      <c r="G444">
        <v>17</v>
      </c>
      <c r="H444">
        <v>218</v>
      </c>
      <c r="I444">
        <v>33</v>
      </c>
      <c r="J444" t="str">
        <f t="shared" si="12"/>
        <v>25–40</v>
      </c>
      <c r="K444" t="s">
        <v>13</v>
      </c>
      <c r="L444">
        <v>1</v>
      </c>
      <c r="M444" t="str">
        <f t="shared" si="13"/>
        <v>Yes</v>
      </c>
      <c r="N444" t="str">
        <f>IF(user_behavior_dataset!$D444&lt;60,"Low",
IF(user_behavior_dataset!$D444&lt;=180,"Medium","High"))</f>
        <v>Medium</v>
      </c>
      <c r="O444" t="str">
        <f>IF(user_behavior_dataset!$H444&gt;=1341,"Yes","No")</f>
        <v>No</v>
      </c>
      <c r="P444" t="str">
        <f>IF(user_behavior_dataset!$F444&gt;=2229,"Yes","No")</f>
        <v>No</v>
      </c>
    </row>
    <row r="445" spans="1:16" x14ac:dyDescent="0.3">
      <c r="A445">
        <v>444</v>
      </c>
      <c r="B445" t="s">
        <v>17</v>
      </c>
      <c r="C445" t="s">
        <v>18</v>
      </c>
      <c r="D445">
        <v>231</v>
      </c>
      <c r="E445">
        <v>4</v>
      </c>
      <c r="F445">
        <v>1664</v>
      </c>
      <c r="G445">
        <v>48</v>
      </c>
      <c r="H445">
        <v>724</v>
      </c>
      <c r="I445">
        <v>29</v>
      </c>
      <c r="J445" t="str">
        <f t="shared" si="12"/>
        <v>25–40</v>
      </c>
      <c r="K445" t="s">
        <v>15</v>
      </c>
      <c r="L445">
        <v>3</v>
      </c>
      <c r="M445" t="str">
        <f t="shared" si="13"/>
        <v>Yes</v>
      </c>
      <c r="N445" t="str">
        <f>IF(user_behavior_dataset!$D445&lt;60,"Low",
IF(user_behavior_dataset!$D445&lt;=180,"Medium","High"))</f>
        <v>High</v>
      </c>
      <c r="O445" t="str">
        <f>IF(user_behavior_dataset!$H445&gt;=1341,"Yes","No")</f>
        <v>No</v>
      </c>
      <c r="P445" t="str">
        <f>IF(user_behavior_dataset!$F445&gt;=2229,"Yes","No")</f>
        <v>No</v>
      </c>
    </row>
    <row r="446" spans="1:16" x14ac:dyDescent="0.3">
      <c r="A446">
        <v>445</v>
      </c>
      <c r="B446" t="s">
        <v>17</v>
      </c>
      <c r="C446" t="s">
        <v>18</v>
      </c>
      <c r="D446">
        <v>555</v>
      </c>
      <c r="E446">
        <v>8.8000000000000007</v>
      </c>
      <c r="F446">
        <v>2540</v>
      </c>
      <c r="G446">
        <v>97</v>
      </c>
      <c r="H446">
        <v>2402</v>
      </c>
      <c r="I446">
        <v>22</v>
      </c>
      <c r="J446" t="str">
        <f t="shared" si="12"/>
        <v>&lt;25</v>
      </c>
      <c r="K446" t="s">
        <v>13</v>
      </c>
      <c r="L446">
        <v>5</v>
      </c>
      <c r="M446" t="str">
        <f t="shared" si="13"/>
        <v>Yes</v>
      </c>
      <c r="N446" t="str">
        <f>IF(user_behavior_dataset!$D446&lt;60,"Low",
IF(user_behavior_dataset!$D446&lt;=180,"Medium","High"))</f>
        <v>High</v>
      </c>
      <c r="O446" t="str">
        <f>IF(user_behavior_dataset!$H446&gt;=1341,"Yes","No")</f>
        <v>Yes</v>
      </c>
      <c r="P446" t="str">
        <f>IF(user_behavior_dataset!$F446&gt;=2229,"Yes","No")</f>
        <v>Yes</v>
      </c>
    </row>
    <row r="447" spans="1:16" x14ac:dyDescent="0.3">
      <c r="A447">
        <v>446</v>
      </c>
      <c r="B447" t="s">
        <v>19</v>
      </c>
      <c r="C447" t="s">
        <v>12</v>
      </c>
      <c r="D447">
        <v>378</v>
      </c>
      <c r="E447">
        <v>7.2</v>
      </c>
      <c r="F447">
        <v>1859</v>
      </c>
      <c r="G447">
        <v>61</v>
      </c>
      <c r="H447">
        <v>1318</v>
      </c>
      <c r="I447">
        <v>58</v>
      </c>
      <c r="J447" t="str">
        <f t="shared" si="12"/>
        <v>40+</v>
      </c>
      <c r="K447" t="s">
        <v>13</v>
      </c>
      <c r="L447">
        <v>4</v>
      </c>
      <c r="M447" t="str">
        <f t="shared" si="13"/>
        <v>Yes</v>
      </c>
      <c r="N447" t="str">
        <f>IF(user_behavior_dataset!$D447&lt;60,"Low",
IF(user_behavior_dataset!$D447&lt;=180,"Medium","High"))</f>
        <v>High</v>
      </c>
      <c r="O447" t="str">
        <f>IF(user_behavior_dataset!$H447&gt;=1341,"Yes","No")</f>
        <v>No</v>
      </c>
      <c r="P447" t="str">
        <f>IF(user_behavior_dataset!$F447&gt;=2229,"Yes","No")</f>
        <v>No</v>
      </c>
    </row>
    <row r="448" spans="1:16" x14ac:dyDescent="0.3">
      <c r="A448">
        <v>447</v>
      </c>
      <c r="B448" t="s">
        <v>14</v>
      </c>
      <c r="C448" t="s">
        <v>12</v>
      </c>
      <c r="D448">
        <v>546</v>
      </c>
      <c r="E448">
        <v>8.8000000000000007</v>
      </c>
      <c r="F448">
        <v>2852</v>
      </c>
      <c r="G448">
        <v>81</v>
      </c>
      <c r="H448">
        <v>1641</v>
      </c>
      <c r="I448">
        <v>24</v>
      </c>
      <c r="J448" t="str">
        <f t="shared" si="12"/>
        <v>&lt;25</v>
      </c>
      <c r="K448" t="s">
        <v>13</v>
      </c>
      <c r="L448">
        <v>5</v>
      </c>
      <c r="M448" t="str">
        <f t="shared" si="13"/>
        <v>Yes</v>
      </c>
      <c r="N448" t="str">
        <f>IF(user_behavior_dataset!$D448&lt;60,"Low",
IF(user_behavior_dataset!$D448&lt;=180,"Medium","High"))</f>
        <v>High</v>
      </c>
      <c r="O448" t="str">
        <f>IF(user_behavior_dataset!$H448&gt;=1341,"Yes","No")</f>
        <v>Yes</v>
      </c>
      <c r="P448" t="str">
        <f>IF(user_behavior_dataset!$F448&gt;=2229,"Yes","No")</f>
        <v>Yes</v>
      </c>
    </row>
    <row r="449" spans="1:16" x14ac:dyDescent="0.3">
      <c r="A449">
        <v>448</v>
      </c>
      <c r="B449" t="s">
        <v>19</v>
      </c>
      <c r="C449" t="s">
        <v>12</v>
      </c>
      <c r="D449">
        <v>234</v>
      </c>
      <c r="E449">
        <v>5.2</v>
      </c>
      <c r="F449">
        <v>1604</v>
      </c>
      <c r="G449">
        <v>58</v>
      </c>
      <c r="H449">
        <v>919</v>
      </c>
      <c r="I449">
        <v>58</v>
      </c>
      <c r="J449" t="str">
        <f t="shared" si="12"/>
        <v>40+</v>
      </c>
      <c r="K449" t="s">
        <v>13</v>
      </c>
      <c r="L449">
        <v>3</v>
      </c>
      <c r="M449" t="str">
        <f t="shared" si="13"/>
        <v>Yes</v>
      </c>
      <c r="N449" t="str">
        <f>IF(user_behavior_dataset!$D449&lt;60,"Low",
IF(user_behavior_dataset!$D449&lt;=180,"Medium","High"))</f>
        <v>High</v>
      </c>
      <c r="O449" t="str">
        <f>IF(user_behavior_dataset!$H449&gt;=1341,"Yes","No")</f>
        <v>No</v>
      </c>
      <c r="P449" t="str">
        <f>IF(user_behavior_dataset!$F449&gt;=2229,"Yes","No")</f>
        <v>No</v>
      </c>
    </row>
    <row r="450" spans="1:16" x14ac:dyDescent="0.3">
      <c r="A450">
        <v>449</v>
      </c>
      <c r="B450" t="s">
        <v>19</v>
      </c>
      <c r="C450" t="s">
        <v>12</v>
      </c>
      <c r="D450">
        <v>152</v>
      </c>
      <c r="E450">
        <v>3</v>
      </c>
      <c r="F450">
        <v>617</v>
      </c>
      <c r="G450">
        <v>22</v>
      </c>
      <c r="H450">
        <v>306</v>
      </c>
      <c r="I450">
        <v>22</v>
      </c>
      <c r="J450" t="str">
        <f t="shared" si="12"/>
        <v>&lt;25</v>
      </c>
      <c r="K450" t="s">
        <v>15</v>
      </c>
      <c r="L450">
        <v>2</v>
      </c>
      <c r="M450" t="str">
        <f t="shared" si="13"/>
        <v>Yes</v>
      </c>
      <c r="N450" t="str">
        <f>IF(user_behavior_dataset!$D450&lt;60,"Low",
IF(user_behavior_dataset!$D450&lt;=180,"Medium","High"))</f>
        <v>Medium</v>
      </c>
      <c r="O450" t="str">
        <f>IF(user_behavior_dataset!$H450&gt;=1341,"Yes","No")</f>
        <v>No</v>
      </c>
      <c r="P450" t="str">
        <f>IF(user_behavior_dataset!$F450&gt;=2229,"Yes","No")</f>
        <v>No</v>
      </c>
    </row>
    <row r="451" spans="1:16" x14ac:dyDescent="0.3">
      <c r="A451">
        <v>450</v>
      </c>
      <c r="B451" t="s">
        <v>11</v>
      </c>
      <c r="C451" t="s">
        <v>12</v>
      </c>
      <c r="D451">
        <v>34</v>
      </c>
      <c r="E451">
        <v>1.2</v>
      </c>
      <c r="F451">
        <v>518</v>
      </c>
      <c r="G451">
        <v>10</v>
      </c>
      <c r="H451">
        <v>170</v>
      </c>
      <c r="I451">
        <v>20</v>
      </c>
      <c r="J451" t="str">
        <f t="shared" ref="J451:J514" si="14">IF(I451="","Unknown",IF(I451&lt;25,"&lt;25",IF(I451&lt;=40,"25–40","40+")))</f>
        <v>&lt;25</v>
      </c>
      <c r="K451" t="s">
        <v>15</v>
      </c>
      <c r="L451">
        <v>1</v>
      </c>
      <c r="M451" t="str">
        <f t="shared" ref="M451:M514" si="15">IF(D451&gt;=60,"Yes","No")</f>
        <v>No</v>
      </c>
      <c r="N451" t="str">
        <f>IF(user_behavior_dataset!$D451&lt;60,"Low",
IF(user_behavior_dataset!$D451&lt;=180,"Medium","High"))</f>
        <v>Low</v>
      </c>
      <c r="O451" t="str">
        <f>IF(user_behavior_dataset!$H451&gt;=1341,"Yes","No")</f>
        <v>No</v>
      </c>
      <c r="P451" t="str">
        <f>IF(user_behavior_dataset!$F451&gt;=2229,"Yes","No")</f>
        <v>No</v>
      </c>
    </row>
    <row r="452" spans="1:16" x14ac:dyDescent="0.3">
      <c r="A452">
        <v>451</v>
      </c>
      <c r="B452" t="s">
        <v>19</v>
      </c>
      <c r="C452" t="s">
        <v>12</v>
      </c>
      <c r="D452">
        <v>179</v>
      </c>
      <c r="E452">
        <v>3.5</v>
      </c>
      <c r="F452">
        <v>1114</v>
      </c>
      <c r="G452">
        <v>30</v>
      </c>
      <c r="H452">
        <v>466</v>
      </c>
      <c r="I452">
        <v>56</v>
      </c>
      <c r="J452" t="str">
        <f t="shared" si="14"/>
        <v>40+</v>
      </c>
      <c r="K452" t="s">
        <v>13</v>
      </c>
      <c r="L452">
        <v>2</v>
      </c>
      <c r="M452" t="str">
        <f t="shared" si="15"/>
        <v>Yes</v>
      </c>
      <c r="N452" t="str">
        <f>IF(user_behavior_dataset!$D452&lt;60,"Low",
IF(user_behavior_dataset!$D452&lt;=180,"Medium","High"))</f>
        <v>Medium</v>
      </c>
      <c r="O452" t="str">
        <f>IF(user_behavior_dataset!$H452&gt;=1341,"Yes","No")</f>
        <v>No</v>
      </c>
      <c r="P452" t="str">
        <f>IF(user_behavior_dataset!$F452&gt;=2229,"Yes","No")</f>
        <v>No</v>
      </c>
    </row>
    <row r="453" spans="1:16" x14ac:dyDescent="0.3">
      <c r="A453">
        <v>452</v>
      </c>
      <c r="B453" t="s">
        <v>14</v>
      </c>
      <c r="C453" t="s">
        <v>12</v>
      </c>
      <c r="D453">
        <v>591</v>
      </c>
      <c r="E453">
        <v>11.8</v>
      </c>
      <c r="F453">
        <v>2953</v>
      </c>
      <c r="G453">
        <v>92</v>
      </c>
      <c r="H453">
        <v>1903</v>
      </c>
      <c r="I453">
        <v>52</v>
      </c>
      <c r="J453" t="str">
        <f t="shared" si="14"/>
        <v>40+</v>
      </c>
      <c r="K453" t="s">
        <v>13</v>
      </c>
      <c r="L453">
        <v>5</v>
      </c>
      <c r="M453" t="str">
        <f t="shared" si="15"/>
        <v>Yes</v>
      </c>
      <c r="N453" t="str">
        <f>IF(user_behavior_dataset!$D453&lt;60,"Low",
IF(user_behavior_dataset!$D453&lt;=180,"Medium","High"))</f>
        <v>High</v>
      </c>
      <c r="O453" t="str">
        <f>IF(user_behavior_dataset!$H453&gt;=1341,"Yes","No")</f>
        <v>Yes</v>
      </c>
      <c r="P453" t="str">
        <f>IF(user_behavior_dataset!$F453&gt;=2229,"Yes","No")</f>
        <v>Yes</v>
      </c>
    </row>
    <row r="454" spans="1:16" x14ac:dyDescent="0.3">
      <c r="A454">
        <v>453</v>
      </c>
      <c r="B454" t="s">
        <v>19</v>
      </c>
      <c r="C454" t="s">
        <v>12</v>
      </c>
      <c r="D454">
        <v>120</v>
      </c>
      <c r="E454">
        <v>3.3</v>
      </c>
      <c r="F454">
        <v>734</v>
      </c>
      <c r="G454">
        <v>35</v>
      </c>
      <c r="H454">
        <v>583</v>
      </c>
      <c r="I454">
        <v>26</v>
      </c>
      <c r="J454" t="str">
        <f t="shared" si="14"/>
        <v>25–40</v>
      </c>
      <c r="K454" t="s">
        <v>13</v>
      </c>
      <c r="L454">
        <v>2</v>
      </c>
      <c r="M454" t="str">
        <f t="shared" si="15"/>
        <v>Yes</v>
      </c>
      <c r="N454" t="str">
        <f>IF(user_behavior_dataset!$D454&lt;60,"Low",
IF(user_behavior_dataset!$D454&lt;=180,"Medium","High"))</f>
        <v>Medium</v>
      </c>
      <c r="O454" t="str">
        <f>IF(user_behavior_dataset!$H454&gt;=1341,"Yes","No")</f>
        <v>No</v>
      </c>
      <c r="P454" t="str">
        <f>IF(user_behavior_dataset!$F454&gt;=2229,"Yes","No")</f>
        <v>No</v>
      </c>
    </row>
    <row r="455" spans="1:16" x14ac:dyDescent="0.3">
      <c r="A455">
        <v>454</v>
      </c>
      <c r="B455" t="s">
        <v>11</v>
      </c>
      <c r="C455" t="s">
        <v>12</v>
      </c>
      <c r="D455">
        <v>88</v>
      </c>
      <c r="E455">
        <v>1.3</v>
      </c>
      <c r="F455">
        <v>557</v>
      </c>
      <c r="G455">
        <v>13</v>
      </c>
      <c r="H455">
        <v>164</v>
      </c>
      <c r="I455">
        <v>43</v>
      </c>
      <c r="J455" t="str">
        <f t="shared" si="14"/>
        <v>40+</v>
      </c>
      <c r="K455" t="s">
        <v>13</v>
      </c>
      <c r="L455">
        <v>1</v>
      </c>
      <c r="M455" t="str">
        <f t="shared" si="15"/>
        <v>Yes</v>
      </c>
      <c r="N455" t="str">
        <f>IF(user_behavior_dataset!$D455&lt;60,"Low",
IF(user_behavior_dataset!$D455&lt;=180,"Medium","High"))</f>
        <v>Medium</v>
      </c>
      <c r="O455" t="str">
        <f>IF(user_behavior_dataset!$H455&gt;=1341,"Yes","No")</f>
        <v>No</v>
      </c>
      <c r="P455" t="str">
        <f>IF(user_behavior_dataset!$F455&gt;=2229,"Yes","No")</f>
        <v>No</v>
      </c>
    </row>
    <row r="456" spans="1:16" x14ac:dyDescent="0.3">
      <c r="A456">
        <v>455</v>
      </c>
      <c r="B456" t="s">
        <v>17</v>
      </c>
      <c r="C456" t="s">
        <v>18</v>
      </c>
      <c r="D456">
        <v>143</v>
      </c>
      <c r="E456">
        <v>3.9</v>
      </c>
      <c r="F456">
        <v>1160</v>
      </c>
      <c r="G456">
        <v>24</v>
      </c>
      <c r="H456">
        <v>398</v>
      </c>
      <c r="I456">
        <v>45</v>
      </c>
      <c r="J456" t="str">
        <f t="shared" si="14"/>
        <v>40+</v>
      </c>
      <c r="K456" t="s">
        <v>13</v>
      </c>
      <c r="L456">
        <v>2</v>
      </c>
      <c r="M456" t="str">
        <f t="shared" si="15"/>
        <v>Yes</v>
      </c>
      <c r="N456" t="str">
        <f>IF(user_behavior_dataset!$D456&lt;60,"Low",
IF(user_behavior_dataset!$D456&lt;=180,"Medium","High"))</f>
        <v>Medium</v>
      </c>
      <c r="O456" t="str">
        <f>IF(user_behavior_dataset!$H456&gt;=1341,"Yes","No")</f>
        <v>No</v>
      </c>
      <c r="P456" t="str">
        <f>IF(user_behavior_dataset!$F456&gt;=2229,"Yes","No")</f>
        <v>No</v>
      </c>
    </row>
    <row r="457" spans="1:16" x14ac:dyDescent="0.3">
      <c r="A457">
        <v>456</v>
      </c>
      <c r="B457" t="s">
        <v>17</v>
      </c>
      <c r="C457" t="s">
        <v>18</v>
      </c>
      <c r="D457">
        <v>74</v>
      </c>
      <c r="E457">
        <v>1.6</v>
      </c>
      <c r="F457">
        <v>436</v>
      </c>
      <c r="G457">
        <v>13</v>
      </c>
      <c r="H457">
        <v>182</v>
      </c>
      <c r="I457">
        <v>27</v>
      </c>
      <c r="J457" t="str">
        <f t="shared" si="14"/>
        <v>25–40</v>
      </c>
      <c r="K457" t="s">
        <v>15</v>
      </c>
      <c r="L457">
        <v>1</v>
      </c>
      <c r="M457" t="str">
        <f t="shared" si="15"/>
        <v>Yes</v>
      </c>
      <c r="N457" t="str">
        <f>IF(user_behavior_dataset!$D457&lt;60,"Low",
IF(user_behavior_dataset!$D457&lt;=180,"Medium","High"))</f>
        <v>Medium</v>
      </c>
      <c r="O457" t="str">
        <f>IF(user_behavior_dataset!$H457&gt;=1341,"Yes","No")</f>
        <v>No</v>
      </c>
      <c r="P457" t="str">
        <f>IF(user_behavior_dataset!$F457&gt;=2229,"Yes","No")</f>
        <v>No</v>
      </c>
    </row>
    <row r="458" spans="1:16" x14ac:dyDescent="0.3">
      <c r="A458">
        <v>457</v>
      </c>
      <c r="B458" t="s">
        <v>17</v>
      </c>
      <c r="C458" t="s">
        <v>18</v>
      </c>
      <c r="D458">
        <v>74</v>
      </c>
      <c r="E458">
        <v>1.6</v>
      </c>
      <c r="F458">
        <v>587</v>
      </c>
      <c r="G458">
        <v>15</v>
      </c>
      <c r="H458">
        <v>275</v>
      </c>
      <c r="I458">
        <v>27</v>
      </c>
      <c r="J458" t="str">
        <f t="shared" si="14"/>
        <v>25–40</v>
      </c>
      <c r="K458" t="s">
        <v>15</v>
      </c>
      <c r="L458">
        <v>1</v>
      </c>
      <c r="M458" t="str">
        <f t="shared" si="15"/>
        <v>Yes</v>
      </c>
      <c r="N458" t="str">
        <f>IF(user_behavior_dataset!$D458&lt;60,"Low",
IF(user_behavior_dataset!$D458&lt;=180,"Medium","High"))</f>
        <v>Medium</v>
      </c>
      <c r="O458" t="str">
        <f>IF(user_behavior_dataset!$H458&gt;=1341,"Yes","No")</f>
        <v>No</v>
      </c>
      <c r="P458" t="str">
        <f>IF(user_behavior_dataset!$F458&gt;=2229,"Yes","No")</f>
        <v>No</v>
      </c>
    </row>
    <row r="459" spans="1:16" x14ac:dyDescent="0.3">
      <c r="A459">
        <v>458</v>
      </c>
      <c r="B459" t="s">
        <v>14</v>
      </c>
      <c r="C459" t="s">
        <v>12</v>
      </c>
      <c r="D459">
        <v>234</v>
      </c>
      <c r="E459">
        <v>4.7</v>
      </c>
      <c r="F459">
        <v>1707</v>
      </c>
      <c r="G459">
        <v>55</v>
      </c>
      <c r="H459">
        <v>871</v>
      </c>
      <c r="I459">
        <v>46</v>
      </c>
      <c r="J459" t="str">
        <f t="shared" si="14"/>
        <v>40+</v>
      </c>
      <c r="K459" t="s">
        <v>13</v>
      </c>
      <c r="L459">
        <v>3</v>
      </c>
      <c r="M459" t="str">
        <f t="shared" si="15"/>
        <v>Yes</v>
      </c>
      <c r="N459" t="str">
        <f>IF(user_behavior_dataset!$D459&lt;60,"Low",
IF(user_behavior_dataset!$D459&lt;=180,"Medium","High"))</f>
        <v>High</v>
      </c>
      <c r="O459" t="str">
        <f>IF(user_behavior_dataset!$H459&gt;=1341,"Yes","No")</f>
        <v>No</v>
      </c>
      <c r="P459" t="str">
        <f>IF(user_behavior_dataset!$F459&gt;=2229,"Yes","No")</f>
        <v>No</v>
      </c>
    </row>
    <row r="460" spans="1:16" x14ac:dyDescent="0.3">
      <c r="A460">
        <v>459</v>
      </c>
      <c r="B460" t="s">
        <v>17</v>
      </c>
      <c r="C460" t="s">
        <v>18</v>
      </c>
      <c r="D460">
        <v>56</v>
      </c>
      <c r="E460">
        <v>1</v>
      </c>
      <c r="F460">
        <v>547</v>
      </c>
      <c r="G460">
        <v>10</v>
      </c>
      <c r="H460">
        <v>142</v>
      </c>
      <c r="I460">
        <v>58</v>
      </c>
      <c r="J460" t="str">
        <f t="shared" si="14"/>
        <v>40+</v>
      </c>
      <c r="K460" t="s">
        <v>15</v>
      </c>
      <c r="L460">
        <v>1</v>
      </c>
      <c r="M460" t="str">
        <f t="shared" si="15"/>
        <v>No</v>
      </c>
      <c r="N460" t="str">
        <f>IF(user_behavior_dataset!$D460&lt;60,"Low",
IF(user_behavior_dataset!$D460&lt;=180,"Medium","High"))</f>
        <v>Low</v>
      </c>
      <c r="O460" t="str">
        <f>IF(user_behavior_dataset!$H460&gt;=1341,"Yes","No")</f>
        <v>No</v>
      </c>
      <c r="P460" t="str">
        <f>IF(user_behavior_dataset!$F460&gt;=2229,"Yes","No")</f>
        <v>No</v>
      </c>
    </row>
    <row r="461" spans="1:16" x14ac:dyDescent="0.3">
      <c r="A461">
        <v>460</v>
      </c>
      <c r="B461" t="s">
        <v>14</v>
      </c>
      <c r="C461" t="s">
        <v>12</v>
      </c>
      <c r="D461">
        <v>174</v>
      </c>
      <c r="E461">
        <v>2.4</v>
      </c>
      <c r="F461">
        <v>639</v>
      </c>
      <c r="G461">
        <v>37</v>
      </c>
      <c r="H461">
        <v>545</v>
      </c>
      <c r="I461">
        <v>50</v>
      </c>
      <c r="J461" t="str">
        <f t="shared" si="14"/>
        <v>40+</v>
      </c>
      <c r="K461" t="s">
        <v>13</v>
      </c>
      <c r="L461">
        <v>2</v>
      </c>
      <c r="M461" t="str">
        <f t="shared" si="15"/>
        <v>Yes</v>
      </c>
      <c r="N461" t="str">
        <f>IF(user_behavior_dataset!$D461&lt;60,"Low",
IF(user_behavior_dataset!$D461&lt;=180,"Medium","High"))</f>
        <v>Medium</v>
      </c>
      <c r="O461" t="str">
        <f>IF(user_behavior_dataset!$H461&gt;=1341,"Yes","No")</f>
        <v>No</v>
      </c>
      <c r="P461" t="str">
        <f>IF(user_behavior_dataset!$F461&gt;=2229,"Yes","No")</f>
        <v>No</v>
      </c>
    </row>
    <row r="462" spans="1:16" x14ac:dyDescent="0.3">
      <c r="A462">
        <v>461</v>
      </c>
      <c r="B462" t="s">
        <v>19</v>
      </c>
      <c r="C462" t="s">
        <v>12</v>
      </c>
      <c r="D462">
        <v>523</v>
      </c>
      <c r="E462">
        <v>9</v>
      </c>
      <c r="F462">
        <v>2696</v>
      </c>
      <c r="G462">
        <v>91</v>
      </c>
      <c r="H462">
        <v>1561</v>
      </c>
      <c r="I462">
        <v>20</v>
      </c>
      <c r="J462" t="str">
        <f t="shared" si="14"/>
        <v>&lt;25</v>
      </c>
      <c r="K462" t="s">
        <v>15</v>
      </c>
      <c r="L462">
        <v>5</v>
      </c>
      <c r="M462" t="str">
        <f t="shared" si="15"/>
        <v>Yes</v>
      </c>
      <c r="N462" t="str">
        <f>IF(user_behavior_dataset!$D462&lt;60,"Low",
IF(user_behavior_dataset!$D462&lt;=180,"Medium","High"))</f>
        <v>High</v>
      </c>
      <c r="O462" t="str">
        <f>IF(user_behavior_dataset!$H462&gt;=1341,"Yes","No")</f>
        <v>Yes</v>
      </c>
      <c r="P462" t="str">
        <f>IF(user_behavior_dataset!$F462&gt;=2229,"Yes","No")</f>
        <v>Yes</v>
      </c>
    </row>
    <row r="463" spans="1:16" x14ac:dyDescent="0.3">
      <c r="A463">
        <v>462</v>
      </c>
      <c r="B463" t="s">
        <v>19</v>
      </c>
      <c r="C463" t="s">
        <v>12</v>
      </c>
      <c r="D463">
        <v>123</v>
      </c>
      <c r="E463">
        <v>3.3</v>
      </c>
      <c r="F463">
        <v>938</v>
      </c>
      <c r="G463">
        <v>36</v>
      </c>
      <c r="H463">
        <v>438</v>
      </c>
      <c r="I463">
        <v>55</v>
      </c>
      <c r="J463" t="str">
        <f t="shared" si="14"/>
        <v>40+</v>
      </c>
      <c r="K463" t="s">
        <v>13</v>
      </c>
      <c r="L463">
        <v>2</v>
      </c>
      <c r="M463" t="str">
        <f t="shared" si="15"/>
        <v>Yes</v>
      </c>
      <c r="N463" t="str">
        <f>IF(user_behavior_dataset!$D463&lt;60,"Low",
IF(user_behavior_dataset!$D463&lt;=180,"Medium","High"))</f>
        <v>Medium</v>
      </c>
      <c r="O463" t="str">
        <f>IF(user_behavior_dataset!$H463&gt;=1341,"Yes","No")</f>
        <v>No</v>
      </c>
      <c r="P463" t="str">
        <f>IF(user_behavior_dataset!$F463&gt;=2229,"Yes","No")</f>
        <v>No</v>
      </c>
    </row>
    <row r="464" spans="1:16" x14ac:dyDescent="0.3">
      <c r="A464">
        <v>463</v>
      </c>
      <c r="B464" t="s">
        <v>19</v>
      </c>
      <c r="C464" t="s">
        <v>12</v>
      </c>
      <c r="D464">
        <v>216</v>
      </c>
      <c r="E464">
        <v>5.9</v>
      </c>
      <c r="F464">
        <v>1789</v>
      </c>
      <c r="G464">
        <v>54</v>
      </c>
      <c r="H464">
        <v>987</v>
      </c>
      <c r="I464">
        <v>55</v>
      </c>
      <c r="J464" t="str">
        <f t="shared" si="14"/>
        <v>40+</v>
      </c>
      <c r="K464" t="s">
        <v>13</v>
      </c>
      <c r="L464">
        <v>3</v>
      </c>
      <c r="M464" t="str">
        <f t="shared" si="15"/>
        <v>Yes</v>
      </c>
      <c r="N464" t="str">
        <f>IF(user_behavior_dataset!$D464&lt;60,"Low",
IF(user_behavior_dataset!$D464&lt;=180,"Medium","High"))</f>
        <v>High</v>
      </c>
      <c r="O464" t="str">
        <f>IF(user_behavior_dataset!$H464&gt;=1341,"Yes","No")</f>
        <v>No</v>
      </c>
      <c r="P464" t="str">
        <f>IF(user_behavior_dataset!$F464&gt;=2229,"Yes","No")</f>
        <v>No</v>
      </c>
    </row>
    <row r="465" spans="1:16" x14ac:dyDescent="0.3">
      <c r="A465">
        <v>464</v>
      </c>
      <c r="B465" t="s">
        <v>17</v>
      </c>
      <c r="C465" t="s">
        <v>18</v>
      </c>
      <c r="D465">
        <v>290</v>
      </c>
      <c r="E465">
        <v>4.5999999999999996</v>
      </c>
      <c r="F465">
        <v>1694</v>
      </c>
      <c r="G465">
        <v>50</v>
      </c>
      <c r="H465">
        <v>809</v>
      </c>
      <c r="I465">
        <v>23</v>
      </c>
      <c r="J465" t="str">
        <f t="shared" si="14"/>
        <v>&lt;25</v>
      </c>
      <c r="K465" t="s">
        <v>13</v>
      </c>
      <c r="L465">
        <v>3</v>
      </c>
      <c r="M465" t="str">
        <f t="shared" si="15"/>
        <v>Yes</v>
      </c>
      <c r="N465" t="str">
        <f>IF(user_behavior_dataset!$D465&lt;60,"Low",
IF(user_behavior_dataset!$D465&lt;=180,"Medium","High"))</f>
        <v>High</v>
      </c>
      <c r="O465" t="str">
        <f>IF(user_behavior_dataset!$H465&gt;=1341,"Yes","No")</f>
        <v>No</v>
      </c>
      <c r="P465" t="str">
        <f>IF(user_behavior_dataset!$F465&gt;=2229,"Yes","No")</f>
        <v>No</v>
      </c>
    </row>
    <row r="466" spans="1:16" x14ac:dyDescent="0.3">
      <c r="A466">
        <v>465</v>
      </c>
      <c r="B466" t="s">
        <v>16</v>
      </c>
      <c r="C466" t="s">
        <v>12</v>
      </c>
      <c r="D466">
        <v>68</v>
      </c>
      <c r="E466">
        <v>1.3</v>
      </c>
      <c r="F466">
        <v>583</v>
      </c>
      <c r="G466">
        <v>10</v>
      </c>
      <c r="H466">
        <v>281</v>
      </c>
      <c r="I466">
        <v>26</v>
      </c>
      <c r="J466" t="str">
        <f t="shared" si="14"/>
        <v>25–40</v>
      </c>
      <c r="K466" t="s">
        <v>15</v>
      </c>
      <c r="L466">
        <v>1</v>
      </c>
      <c r="M466" t="str">
        <f t="shared" si="15"/>
        <v>Yes</v>
      </c>
      <c r="N466" t="str">
        <f>IF(user_behavior_dataset!$D466&lt;60,"Low",
IF(user_behavior_dataset!$D466&lt;=180,"Medium","High"))</f>
        <v>Medium</v>
      </c>
      <c r="O466" t="str">
        <f>IF(user_behavior_dataset!$H466&gt;=1341,"Yes","No")</f>
        <v>No</v>
      </c>
      <c r="P466" t="str">
        <f>IF(user_behavior_dataset!$F466&gt;=2229,"Yes","No")</f>
        <v>No</v>
      </c>
    </row>
    <row r="467" spans="1:16" x14ac:dyDescent="0.3">
      <c r="A467">
        <v>466</v>
      </c>
      <c r="B467" t="s">
        <v>14</v>
      </c>
      <c r="C467" t="s">
        <v>12</v>
      </c>
      <c r="D467">
        <v>265</v>
      </c>
      <c r="E467">
        <v>4.8</v>
      </c>
      <c r="F467">
        <v>1770</v>
      </c>
      <c r="G467">
        <v>51</v>
      </c>
      <c r="H467">
        <v>723</v>
      </c>
      <c r="I467">
        <v>55</v>
      </c>
      <c r="J467" t="str">
        <f t="shared" si="14"/>
        <v>40+</v>
      </c>
      <c r="K467" t="s">
        <v>15</v>
      </c>
      <c r="L467">
        <v>3</v>
      </c>
      <c r="M467" t="str">
        <f t="shared" si="15"/>
        <v>Yes</v>
      </c>
      <c r="N467" t="str">
        <f>IF(user_behavior_dataset!$D467&lt;60,"Low",
IF(user_behavior_dataset!$D467&lt;=180,"Medium","High"))</f>
        <v>High</v>
      </c>
      <c r="O467" t="str">
        <f>IF(user_behavior_dataset!$H467&gt;=1341,"Yes","No")</f>
        <v>No</v>
      </c>
      <c r="P467" t="str">
        <f>IF(user_behavior_dataset!$F467&gt;=2229,"Yes","No")</f>
        <v>No</v>
      </c>
    </row>
    <row r="468" spans="1:16" x14ac:dyDescent="0.3">
      <c r="A468">
        <v>467</v>
      </c>
      <c r="B468" t="s">
        <v>19</v>
      </c>
      <c r="C468" t="s">
        <v>12</v>
      </c>
      <c r="D468">
        <v>414</v>
      </c>
      <c r="E468">
        <v>7.3</v>
      </c>
      <c r="F468">
        <v>2349</v>
      </c>
      <c r="G468">
        <v>75</v>
      </c>
      <c r="H468">
        <v>1092</v>
      </c>
      <c r="I468">
        <v>51</v>
      </c>
      <c r="J468" t="str">
        <f t="shared" si="14"/>
        <v>40+</v>
      </c>
      <c r="K468" t="s">
        <v>13</v>
      </c>
      <c r="L468">
        <v>4</v>
      </c>
      <c r="M468" t="str">
        <f t="shared" si="15"/>
        <v>Yes</v>
      </c>
      <c r="N468" t="str">
        <f>IF(user_behavior_dataset!$D468&lt;60,"Low",
IF(user_behavior_dataset!$D468&lt;=180,"Medium","High"))</f>
        <v>High</v>
      </c>
      <c r="O468" t="str">
        <f>IF(user_behavior_dataset!$H468&gt;=1341,"Yes","No")</f>
        <v>No</v>
      </c>
      <c r="P468" t="str">
        <f>IF(user_behavior_dataset!$F468&gt;=2229,"Yes","No")</f>
        <v>Yes</v>
      </c>
    </row>
    <row r="469" spans="1:16" x14ac:dyDescent="0.3">
      <c r="A469">
        <v>468</v>
      </c>
      <c r="B469" t="s">
        <v>11</v>
      </c>
      <c r="C469" t="s">
        <v>12</v>
      </c>
      <c r="D469">
        <v>238</v>
      </c>
      <c r="E469">
        <v>4</v>
      </c>
      <c r="F469">
        <v>1414</v>
      </c>
      <c r="G469">
        <v>47</v>
      </c>
      <c r="H469">
        <v>661</v>
      </c>
      <c r="I469">
        <v>41</v>
      </c>
      <c r="J469" t="str">
        <f t="shared" si="14"/>
        <v>40+</v>
      </c>
      <c r="K469" t="s">
        <v>15</v>
      </c>
      <c r="L469">
        <v>3</v>
      </c>
      <c r="M469" t="str">
        <f t="shared" si="15"/>
        <v>Yes</v>
      </c>
      <c r="N469" t="str">
        <f>IF(user_behavior_dataset!$D469&lt;60,"Low",
IF(user_behavior_dataset!$D469&lt;=180,"Medium","High"))</f>
        <v>High</v>
      </c>
      <c r="O469" t="str">
        <f>IF(user_behavior_dataset!$H469&gt;=1341,"Yes","No")</f>
        <v>No</v>
      </c>
      <c r="P469" t="str">
        <f>IF(user_behavior_dataset!$F469&gt;=2229,"Yes","No")</f>
        <v>No</v>
      </c>
    </row>
    <row r="470" spans="1:16" x14ac:dyDescent="0.3">
      <c r="A470">
        <v>469</v>
      </c>
      <c r="B470" t="s">
        <v>16</v>
      </c>
      <c r="C470" t="s">
        <v>12</v>
      </c>
      <c r="D470">
        <v>429</v>
      </c>
      <c r="E470">
        <v>7.5</v>
      </c>
      <c r="F470">
        <v>1921</v>
      </c>
      <c r="G470">
        <v>61</v>
      </c>
      <c r="H470">
        <v>1102</v>
      </c>
      <c r="I470">
        <v>46</v>
      </c>
      <c r="J470" t="str">
        <f t="shared" si="14"/>
        <v>40+</v>
      </c>
      <c r="K470" t="s">
        <v>13</v>
      </c>
      <c r="L470">
        <v>4</v>
      </c>
      <c r="M470" t="str">
        <f t="shared" si="15"/>
        <v>Yes</v>
      </c>
      <c r="N470" t="str">
        <f>IF(user_behavior_dataset!$D470&lt;60,"Low",
IF(user_behavior_dataset!$D470&lt;=180,"Medium","High"))</f>
        <v>High</v>
      </c>
      <c r="O470" t="str">
        <f>IF(user_behavior_dataset!$H470&gt;=1341,"Yes","No")</f>
        <v>No</v>
      </c>
      <c r="P470" t="str">
        <f>IF(user_behavior_dataset!$F470&gt;=2229,"Yes","No")</f>
        <v>No</v>
      </c>
    </row>
    <row r="471" spans="1:16" x14ac:dyDescent="0.3">
      <c r="A471">
        <v>470</v>
      </c>
      <c r="B471" t="s">
        <v>16</v>
      </c>
      <c r="C471" t="s">
        <v>12</v>
      </c>
      <c r="D471">
        <v>39</v>
      </c>
      <c r="E471">
        <v>1.9</v>
      </c>
      <c r="F471">
        <v>541</v>
      </c>
      <c r="G471">
        <v>16</v>
      </c>
      <c r="H471">
        <v>294</v>
      </c>
      <c r="I471">
        <v>37</v>
      </c>
      <c r="J471" t="str">
        <f t="shared" si="14"/>
        <v>25–40</v>
      </c>
      <c r="K471" t="s">
        <v>13</v>
      </c>
      <c r="L471">
        <v>1</v>
      </c>
      <c r="M471" t="str">
        <f t="shared" si="15"/>
        <v>No</v>
      </c>
      <c r="N471" t="str">
        <f>IF(user_behavior_dataset!$D471&lt;60,"Low",
IF(user_behavior_dataset!$D471&lt;=180,"Medium","High"))</f>
        <v>Low</v>
      </c>
      <c r="O471" t="str">
        <f>IF(user_behavior_dataset!$H471&gt;=1341,"Yes","No")</f>
        <v>No</v>
      </c>
      <c r="P471" t="str">
        <f>IF(user_behavior_dataset!$F471&gt;=2229,"Yes","No")</f>
        <v>No</v>
      </c>
    </row>
    <row r="472" spans="1:16" x14ac:dyDescent="0.3">
      <c r="A472">
        <v>471</v>
      </c>
      <c r="B472" t="s">
        <v>19</v>
      </c>
      <c r="C472" t="s">
        <v>12</v>
      </c>
      <c r="D472">
        <v>248</v>
      </c>
      <c r="E472">
        <v>4.5999999999999996</v>
      </c>
      <c r="F472">
        <v>1396</v>
      </c>
      <c r="G472">
        <v>52</v>
      </c>
      <c r="H472">
        <v>883</v>
      </c>
      <c r="I472">
        <v>40</v>
      </c>
      <c r="J472" t="str">
        <f t="shared" si="14"/>
        <v>25–40</v>
      </c>
      <c r="K472" t="s">
        <v>13</v>
      </c>
      <c r="L472">
        <v>3</v>
      </c>
      <c r="M472" t="str">
        <f t="shared" si="15"/>
        <v>Yes</v>
      </c>
      <c r="N472" t="str">
        <f>IF(user_behavior_dataset!$D472&lt;60,"Low",
IF(user_behavior_dataset!$D472&lt;=180,"Medium","High"))</f>
        <v>High</v>
      </c>
      <c r="O472" t="str">
        <f>IF(user_behavior_dataset!$H472&gt;=1341,"Yes","No")</f>
        <v>No</v>
      </c>
      <c r="P472" t="str">
        <f>IF(user_behavior_dataset!$F472&gt;=2229,"Yes","No")</f>
        <v>No</v>
      </c>
    </row>
    <row r="473" spans="1:16" x14ac:dyDescent="0.3">
      <c r="A473">
        <v>472</v>
      </c>
      <c r="B473" t="s">
        <v>16</v>
      </c>
      <c r="C473" t="s">
        <v>12</v>
      </c>
      <c r="D473">
        <v>541</v>
      </c>
      <c r="E473">
        <v>9.4</v>
      </c>
      <c r="F473">
        <v>2452</v>
      </c>
      <c r="G473">
        <v>93</v>
      </c>
      <c r="H473">
        <v>1811</v>
      </c>
      <c r="I473">
        <v>53</v>
      </c>
      <c r="J473" t="str">
        <f t="shared" si="14"/>
        <v>40+</v>
      </c>
      <c r="K473" t="s">
        <v>15</v>
      </c>
      <c r="L473">
        <v>5</v>
      </c>
      <c r="M473" t="str">
        <f t="shared" si="15"/>
        <v>Yes</v>
      </c>
      <c r="N473" t="str">
        <f>IF(user_behavior_dataset!$D473&lt;60,"Low",
IF(user_behavior_dataset!$D473&lt;=180,"Medium","High"))</f>
        <v>High</v>
      </c>
      <c r="O473" t="str">
        <f>IF(user_behavior_dataset!$H473&gt;=1341,"Yes","No")</f>
        <v>Yes</v>
      </c>
      <c r="P473" t="str">
        <f>IF(user_behavior_dataset!$F473&gt;=2229,"Yes","No")</f>
        <v>Yes</v>
      </c>
    </row>
    <row r="474" spans="1:16" x14ac:dyDescent="0.3">
      <c r="A474">
        <v>473</v>
      </c>
      <c r="B474" t="s">
        <v>16</v>
      </c>
      <c r="C474" t="s">
        <v>12</v>
      </c>
      <c r="D474">
        <v>139</v>
      </c>
      <c r="E474">
        <v>3</v>
      </c>
      <c r="F474">
        <v>697</v>
      </c>
      <c r="G474">
        <v>37</v>
      </c>
      <c r="H474">
        <v>513</v>
      </c>
      <c r="I474">
        <v>26</v>
      </c>
      <c r="J474" t="str">
        <f t="shared" si="14"/>
        <v>25–40</v>
      </c>
      <c r="K474" t="s">
        <v>15</v>
      </c>
      <c r="L474">
        <v>2</v>
      </c>
      <c r="M474" t="str">
        <f t="shared" si="15"/>
        <v>Yes</v>
      </c>
      <c r="N474" t="str">
        <f>IF(user_behavior_dataset!$D474&lt;60,"Low",
IF(user_behavior_dataset!$D474&lt;=180,"Medium","High"))</f>
        <v>Medium</v>
      </c>
      <c r="O474" t="str">
        <f>IF(user_behavior_dataset!$H474&gt;=1341,"Yes","No")</f>
        <v>No</v>
      </c>
      <c r="P474" t="str">
        <f>IF(user_behavior_dataset!$F474&gt;=2229,"Yes","No")</f>
        <v>No</v>
      </c>
    </row>
    <row r="475" spans="1:16" x14ac:dyDescent="0.3">
      <c r="A475">
        <v>474</v>
      </c>
      <c r="B475" t="s">
        <v>17</v>
      </c>
      <c r="C475" t="s">
        <v>18</v>
      </c>
      <c r="D475">
        <v>289</v>
      </c>
      <c r="E475">
        <v>5</v>
      </c>
      <c r="F475">
        <v>1625</v>
      </c>
      <c r="G475">
        <v>45</v>
      </c>
      <c r="H475">
        <v>687</v>
      </c>
      <c r="I475">
        <v>29</v>
      </c>
      <c r="J475" t="str">
        <f t="shared" si="14"/>
        <v>25–40</v>
      </c>
      <c r="K475" t="s">
        <v>13</v>
      </c>
      <c r="L475">
        <v>3</v>
      </c>
      <c r="M475" t="str">
        <f t="shared" si="15"/>
        <v>Yes</v>
      </c>
      <c r="N475" t="str">
        <f>IF(user_behavior_dataset!$D475&lt;60,"Low",
IF(user_behavior_dataset!$D475&lt;=180,"Medium","High"))</f>
        <v>High</v>
      </c>
      <c r="O475" t="str">
        <f>IF(user_behavior_dataset!$H475&gt;=1341,"Yes","No")</f>
        <v>No</v>
      </c>
      <c r="P475" t="str">
        <f>IF(user_behavior_dataset!$F475&gt;=2229,"Yes","No")</f>
        <v>No</v>
      </c>
    </row>
    <row r="476" spans="1:16" x14ac:dyDescent="0.3">
      <c r="A476">
        <v>475</v>
      </c>
      <c r="B476" t="s">
        <v>16</v>
      </c>
      <c r="C476" t="s">
        <v>12</v>
      </c>
      <c r="D476">
        <v>210</v>
      </c>
      <c r="E476">
        <v>4.9000000000000004</v>
      </c>
      <c r="F476">
        <v>1657</v>
      </c>
      <c r="G476">
        <v>55</v>
      </c>
      <c r="H476">
        <v>765</v>
      </c>
      <c r="I476">
        <v>49</v>
      </c>
      <c r="J476" t="str">
        <f t="shared" si="14"/>
        <v>40+</v>
      </c>
      <c r="K476" t="s">
        <v>15</v>
      </c>
      <c r="L476">
        <v>3</v>
      </c>
      <c r="M476" t="str">
        <f t="shared" si="15"/>
        <v>Yes</v>
      </c>
      <c r="N476" t="str">
        <f>IF(user_behavior_dataset!$D476&lt;60,"Low",
IF(user_behavior_dataset!$D476&lt;=180,"Medium","High"))</f>
        <v>High</v>
      </c>
      <c r="O476" t="str">
        <f>IF(user_behavior_dataset!$H476&gt;=1341,"Yes","No")</f>
        <v>No</v>
      </c>
      <c r="P476" t="str">
        <f>IF(user_behavior_dataset!$F476&gt;=2229,"Yes","No")</f>
        <v>No</v>
      </c>
    </row>
    <row r="477" spans="1:16" x14ac:dyDescent="0.3">
      <c r="A477">
        <v>476</v>
      </c>
      <c r="B477" t="s">
        <v>19</v>
      </c>
      <c r="C477" t="s">
        <v>12</v>
      </c>
      <c r="D477">
        <v>412</v>
      </c>
      <c r="E477">
        <v>6.2</v>
      </c>
      <c r="F477">
        <v>2201</v>
      </c>
      <c r="G477">
        <v>68</v>
      </c>
      <c r="H477">
        <v>1085</v>
      </c>
      <c r="I477">
        <v>54</v>
      </c>
      <c r="J477" t="str">
        <f t="shared" si="14"/>
        <v>40+</v>
      </c>
      <c r="K477" t="s">
        <v>15</v>
      </c>
      <c r="L477">
        <v>4</v>
      </c>
      <c r="M477" t="str">
        <f t="shared" si="15"/>
        <v>Yes</v>
      </c>
      <c r="N477" t="str">
        <f>IF(user_behavior_dataset!$D477&lt;60,"Low",
IF(user_behavior_dataset!$D477&lt;=180,"Medium","High"))</f>
        <v>High</v>
      </c>
      <c r="O477" t="str">
        <f>IF(user_behavior_dataset!$H477&gt;=1341,"Yes","No")</f>
        <v>No</v>
      </c>
      <c r="P477" t="str">
        <f>IF(user_behavior_dataset!$F477&gt;=2229,"Yes","No")</f>
        <v>No</v>
      </c>
    </row>
    <row r="478" spans="1:16" x14ac:dyDescent="0.3">
      <c r="A478">
        <v>477</v>
      </c>
      <c r="B478" t="s">
        <v>11</v>
      </c>
      <c r="C478" t="s">
        <v>12</v>
      </c>
      <c r="D478">
        <v>318</v>
      </c>
      <c r="E478">
        <v>6.6</v>
      </c>
      <c r="F478">
        <v>2089</v>
      </c>
      <c r="G478">
        <v>77</v>
      </c>
      <c r="H478">
        <v>1126</v>
      </c>
      <c r="I478">
        <v>49</v>
      </c>
      <c r="J478" t="str">
        <f t="shared" si="14"/>
        <v>40+</v>
      </c>
      <c r="K478" t="s">
        <v>15</v>
      </c>
      <c r="L478">
        <v>4</v>
      </c>
      <c r="M478" t="str">
        <f t="shared" si="15"/>
        <v>Yes</v>
      </c>
      <c r="N478" t="str">
        <f>IF(user_behavior_dataset!$D478&lt;60,"Low",
IF(user_behavior_dataset!$D478&lt;=180,"Medium","High"))</f>
        <v>High</v>
      </c>
      <c r="O478" t="str">
        <f>IF(user_behavior_dataset!$H478&gt;=1341,"Yes","No")</f>
        <v>No</v>
      </c>
      <c r="P478" t="str">
        <f>IF(user_behavior_dataset!$F478&gt;=2229,"Yes","No")</f>
        <v>No</v>
      </c>
    </row>
    <row r="479" spans="1:16" x14ac:dyDescent="0.3">
      <c r="A479">
        <v>478</v>
      </c>
      <c r="B479" t="s">
        <v>17</v>
      </c>
      <c r="C479" t="s">
        <v>18</v>
      </c>
      <c r="D479">
        <v>258</v>
      </c>
      <c r="E479">
        <v>4.2</v>
      </c>
      <c r="F479">
        <v>1315</v>
      </c>
      <c r="G479">
        <v>44</v>
      </c>
      <c r="H479">
        <v>762</v>
      </c>
      <c r="I479">
        <v>59</v>
      </c>
      <c r="J479" t="str">
        <f t="shared" si="14"/>
        <v>40+</v>
      </c>
      <c r="K479" t="s">
        <v>15</v>
      </c>
      <c r="L479">
        <v>3</v>
      </c>
      <c r="M479" t="str">
        <f t="shared" si="15"/>
        <v>Yes</v>
      </c>
      <c r="N479" t="str">
        <f>IF(user_behavior_dataset!$D479&lt;60,"Low",
IF(user_behavior_dataset!$D479&lt;=180,"Medium","High"))</f>
        <v>High</v>
      </c>
      <c r="O479" t="str">
        <f>IF(user_behavior_dataset!$H479&gt;=1341,"Yes","No")</f>
        <v>No</v>
      </c>
      <c r="P479" t="str">
        <f>IF(user_behavior_dataset!$F479&gt;=2229,"Yes","No")</f>
        <v>No</v>
      </c>
    </row>
    <row r="480" spans="1:16" x14ac:dyDescent="0.3">
      <c r="A480">
        <v>479</v>
      </c>
      <c r="B480" t="s">
        <v>14</v>
      </c>
      <c r="C480" t="s">
        <v>12</v>
      </c>
      <c r="D480">
        <v>258</v>
      </c>
      <c r="E480">
        <v>4.3</v>
      </c>
      <c r="F480">
        <v>1759</v>
      </c>
      <c r="G480">
        <v>59</v>
      </c>
      <c r="H480">
        <v>718</v>
      </c>
      <c r="I480">
        <v>41</v>
      </c>
      <c r="J480" t="str">
        <f t="shared" si="14"/>
        <v>40+</v>
      </c>
      <c r="K480" t="s">
        <v>15</v>
      </c>
      <c r="L480">
        <v>3</v>
      </c>
      <c r="M480" t="str">
        <f t="shared" si="15"/>
        <v>Yes</v>
      </c>
      <c r="N480" t="str">
        <f>IF(user_behavior_dataset!$D480&lt;60,"Low",
IF(user_behavior_dataset!$D480&lt;=180,"Medium","High"))</f>
        <v>High</v>
      </c>
      <c r="O480" t="str">
        <f>IF(user_behavior_dataset!$H480&gt;=1341,"Yes","No")</f>
        <v>No</v>
      </c>
      <c r="P480" t="str">
        <f>IF(user_behavior_dataset!$F480&gt;=2229,"Yes","No")</f>
        <v>No</v>
      </c>
    </row>
    <row r="481" spans="1:16" x14ac:dyDescent="0.3">
      <c r="A481">
        <v>480</v>
      </c>
      <c r="B481" t="s">
        <v>19</v>
      </c>
      <c r="C481" t="s">
        <v>12</v>
      </c>
      <c r="D481">
        <v>189</v>
      </c>
      <c r="E481">
        <v>4.8</v>
      </c>
      <c r="F481">
        <v>1681</v>
      </c>
      <c r="G481">
        <v>59</v>
      </c>
      <c r="H481">
        <v>795</v>
      </c>
      <c r="I481">
        <v>57</v>
      </c>
      <c r="J481" t="str">
        <f t="shared" si="14"/>
        <v>40+</v>
      </c>
      <c r="K481" t="s">
        <v>13</v>
      </c>
      <c r="L481">
        <v>3</v>
      </c>
      <c r="M481" t="str">
        <f t="shared" si="15"/>
        <v>Yes</v>
      </c>
      <c r="N481" t="str">
        <f>IF(user_behavior_dataset!$D481&lt;60,"Low",
IF(user_behavior_dataset!$D481&lt;=180,"Medium","High"))</f>
        <v>High</v>
      </c>
      <c r="O481" t="str">
        <f>IF(user_behavior_dataset!$H481&gt;=1341,"Yes","No")</f>
        <v>No</v>
      </c>
      <c r="P481" t="str">
        <f>IF(user_behavior_dataset!$F481&gt;=2229,"Yes","No")</f>
        <v>No</v>
      </c>
    </row>
    <row r="482" spans="1:16" x14ac:dyDescent="0.3">
      <c r="A482">
        <v>481</v>
      </c>
      <c r="B482" t="s">
        <v>17</v>
      </c>
      <c r="C482" t="s">
        <v>18</v>
      </c>
      <c r="D482">
        <v>155</v>
      </c>
      <c r="E482">
        <v>2.4</v>
      </c>
      <c r="F482">
        <v>954</v>
      </c>
      <c r="G482">
        <v>39</v>
      </c>
      <c r="H482">
        <v>441</v>
      </c>
      <c r="I482">
        <v>51</v>
      </c>
      <c r="J482" t="str">
        <f t="shared" si="14"/>
        <v>40+</v>
      </c>
      <c r="K482" t="s">
        <v>13</v>
      </c>
      <c r="L482">
        <v>2</v>
      </c>
      <c r="M482" t="str">
        <f t="shared" si="15"/>
        <v>Yes</v>
      </c>
      <c r="N482" t="str">
        <f>IF(user_behavior_dataset!$D482&lt;60,"Low",
IF(user_behavior_dataset!$D482&lt;=180,"Medium","High"))</f>
        <v>Medium</v>
      </c>
      <c r="O482" t="str">
        <f>IF(user_behavior_dataset!$H482&gt;=1341,"Yes","No")</f>
        <v>No</v>
      </c>
      <c r="P482" t="str">
        <f>IF(user_behavior_dataset!$F482&gt;=2229,"Yes","No")</f>
        <v>No</v>
      </c>
    </row>
    <row r="483" spans="1:16" x14ac:dyDescent="0.3">
      <c r="A483">
        <v>482</v>
      </c>
      <c r="B483" t="s">
        <v>19</v>
      </c>
      <c r="C483" t="s">
        <v>12</v>
      </c>
      <c r="D483">
        <v>528</v>
      </c>
      <c r="E483">
        <v>10.4</v>
      </c>
      <c r="F483">
        <v>2717</v>
      </c>
      <c r="G483">
        <v>87</v>
      </c>
      <c r="H483">
        <v>2140</v>
      </c>
      <c r="I483">
        <v>34</v>
      </c>
      <c r="J483" t="str">
        <f t="shared" si="14"/>
        <v>25–40</v>
      </c>
      <c r="K483" t="s">
        <v>13</v>
      </c>
      <c r="L483">
        <v>5</v>
      </c>
      <c r="M483" t="str">
        <f t="shared" si="15"/>
        <v>Yes</v>
      </c>
      <c r="N483" t="str">
        <f>IF(user_behavior_dataset!$D483&lt;60,"Low",
IF(user_behavior_dataset!$D483&lt;=180,"Medium","High"))</f>
        <v>High</v>
      </c>
      <c r="O483" t="str">
        <f>IF(user_behavior_dataset!$H483&gt;=1341,"Yes","No")</f>
        <v>Yes</v>
      </c>
      <c r="P483" t="str">
        <f>IF(user_behavior_dataset!$F483&gt;=2229,"Yes","No")</f>
        <v>Yes</v>
      </c>
    </row>
    <row r="484" spans="1:16" x14ac:dyDescent="0.3">
      <c r="A484">
        <v>483</v>
      </c>
      <c r="B484" t="s">
        <v>17</v>
      </c>
      <c r="C484" t="s">
        <v>18</v>
      </c>
      <c r="D484">
        <v>549</v>
      </c>
      <c r="E484">
        <v>11.1</v>
      </c>
      <c r="F484">
        <v>2851</v>
      </c>
      <c r="G484">
        <v>87</v>
      </c>
      <c r="H484">
        <v>1814</v>
      </c>
      <c r="I484">
        <v>56</v>
      </c>
      <c r="J484" t="str">
        <f t="shared" si="14"/>
        <v>40+</v>
      </c>
      <c r="K484" t="s">
        <v>13</v>
      </c>
      <c r="L484">
        <v>5</v>
      </c>
      <c r="M484" t="str">
        <f t="shared" si="15"/>
        <v>Yes</v>
      </c>
      <c r="N484" t="str">
        <f>IF(user_behavior_dataset!$D484&lt;60,"Low",
IF(user_behavior_dataset!$D484&lt;=180,"Medium","High"))</f>
        <v>High</v>
      </c>
      <c r="O484" t="str">
        <f>IF(user_behavior_dataset!$H484&gt;=1341,"Yes","No")</f>
        <v>Yes</v>
      </c>
      <c r="P484" t="str">
        <f>IF(user_behavior_dataset!$F484&gt;=2229,"Yes","No")</f>
        <v>Yes</v>
      </c>
    </row>
    <row r="485" spans="1:16" x14ac:dyDescent="0.3">
      <c r="A485">
        <v>484</v>
      </c>
      <c r="B485" t="s">
        <v>16</v>
      </c>
      <c r="C485" t="s">
        <v>12</v>
      </c>
      <c r="D485">
        <v>78</v>
      </c>
      <c r="E485">
        <v>1.6</v>
      </c>
      <c r="F485">
        <v>470</v>
      </c>
      <c r="G485">
        <v>18</v>
      </c>
      <c r="H485">
        <v>230</v>
      </c>
      <c r="I485">
        <v>49</v>
      </c>
      <c r="J485" t="str">
        <f t="shared" si="14"/>
        <v>40+</v>
      </c>
      <c r="K485" t="s">
        <v>15</v>
      </c>
      <c r="L485">
        <v>1</v>
      </c>
      <c r="M485" t="str">
        <f t="shared" si="15"/>
        <v>Yes</v>
      </c>
      <c r="N485" t="str">
        <f>IF(user_behavior_dataset!$D485&lt;60,"Low",
IF(user_behavior_dataset!$D485&lt;=180,"Medium","High"))</f>
        <v>Medium</v>
      </c>
      <c r="O485" t="str">
        <f>IF(user_behavior_dataset!$H485&gt;=1341,"Yes","No")</f>
        <v>No</v>
      </c>
      <c r="P485" t="str">
        <f>IF(user_behavior_dataset!$F485&gt;=2229,"Yes","No")</f>
        <v>No</v>
      </c>
    </row>
    <row r="486" spans="1:16" x14ac:dyDescent="0.3">
      <c r="A486">
        <v>485</v>
      </c>
      <c r="B486" t="s">
        <v>17</v>
      </c>
      <c r="C486" t="s">
        <v>18</v>
      </c>
      <c r="D486">
        <v>444</v>
      </c>
      <c r="E486">
        <v>6</v>
      </c>
      <c r="F486">
        <v>1873</v>
      </c>
      <c r="G486">
        <v>61</v>
      </c>
      <c r="H486">
        <v>1093</v>
      </c>
      <c r="I486">
        <v>39</v>
      </c>
      <c r="J486" t="str">
        <f t="shared" si="14"/>
        <v>25–40</v>
      </c>
      <c r="K486" t="s">
        <v>15</v>
      </c>
      <c r="L486">
        <v>4</v>
      </c>
      <c r="M486" t="str">
        <f t="shared" si="15"/>
        <v>Yes</v>
      </c>
      <c r="N486" t="str">
        <f>IF(user_behavior_dataset!$D486&lt;60,"Low",
IF(user_behavior_dataset!$D486&lt;=180,"Medium","High"))</f>
        <v>High</v>
      </c>
      <c r="O486" t="str">
        <f>IF(user_behavior_dataset!$H486&gt;=1341,"Yes","No")</f>
        <v>No</v>
      </c>
      <c r="P486" t="str">
        <f>IF(user_behavior_dataset!$F486&gt;=2229,"Yes","No")</f>
        <v>No</v>
      </c>
    </row>
    <row r="487" spans="1:16" x14ac:dyDescent="0.3">
      <c r="A487">
        <v>486</v>
      </c>
      <c r="B487" t="s">
        <v>16</v>
      </c>
      <c r="C487" t="s">
        <v>12</v>
      </c>
      <c r="D487">
        <v>80</v>
      </c>
      <c r="E487">
        <v>1.1000000000000001</v>
      </c>
      <c r="F487">
        <v>417</v>
      </c>
      <c r="G487">
        <v>18</v>
      </c>
      <c r="H487">
        <v>298</v>
      </c>
      <c r="I487">
        <v>36</v>
      </c>
      <c r="J487" t="str">
        <f t="shared" si="14"/>
        <v>25–40</v>
      </c>
      <c r="K487" t="s">
        <v>13</v>
      </c>
      <c r="L487">
        <v>1</v>
      </c>
      <c r="M487" t="str">
        <f t="shared" si="15"/>
        <v>Yes</v>
      </c>
      <c r="N487" t="str">
        <f>IF(user_behavior_dataset!$D487&lt;60,"Low",
IF(user_behavior_dataset!$D487&lt;=180,"Medium","High"))</f>
        <v>Medium</v>
      </c>
      <c r="O487" t="str">
        <f>IF(user_behavior_dataset!$H487&gt;=1341,"Yes","No")</f>
        <v>No</v>
      </c>
      <c r="P487" t="str">
        <f>IF(user_behavior_dataset!$F487&gt;=2229,"Yes","No")</f>
        <v>No</v>
      </c>
    </row>
    <row r="488" spans="1:16" x14ac:dyDescent="0.3">
      <c r="A488">
        <v>487</v>
      </c>
      <c r="B488" t="s">
        <v>17</v>
      </c>
      <c r="C488" t="s">
        <v>18</v>
      </c>
      <c r="D488">
        <v>131</v>
      </c>
      <c r="E488">
        <v>3.8</v>
      </c>
      <c r="F488">
        <v>739</v>
      </c>
      <c r="G488">
        <v>34</v>
      </c>
      <c r="H488">
        <v>330</v>
      </c>
      <c r="I488">
        <v>57</v>
      </c>
      <c r="J488" t="str">
        <f t="shared" si="14"/>
        <v>40+</v>
      </c>
      <c r="K488" t="s">
        <v>15</v>
      </c>
      <c r="L488">
        <v>2</v>
      </c>
      <c r="M488" t="str">
        <f t="shared" si="15"/>
        <v>Yes</v>
      </c>
      <c r="N488" t="str">
        <f>IF(user_behavior_dataset!$D488&lt;60,"Low",
IF(user_behavior_dataset!$D488&lt;=180,"Medium","High"))</f>
        <v>Medium</v>
      </c>
      <c r="O488" t="str">
        <f>IF(user_behavior_dataset!$H488&gt;=1341,"Yes","No")</f>
        <v>No</v>
      </c>
      <c r="P488" t="str">
        <f>IF(user_behavior_dataset!$F488&gt;=2229,"Yes","No")</f>
        <v>No</v>
      </c>
    </row>
    <row r="489" spans="1:16" x14ac:dyDescent="0.3">
      <c r="A489">
        <v>488</v>
      </c>
      <c r="B489" t="s">
        <v>17</v>
      </c>
      <c r="C489" t="s">
        <v>18</v>
      </c>
      <c r="D489">
        <v>228</v>
      </c>
      <c r="E489">
        <v>4.4000000000000004</v>
      </c>
      <c r="F489">
        <v>1734</v>
      </c>
      <c r="G489">
        <v>46</v>
      </c>
      <c r="H489">
        <v>804</v>
      </c>
      <c r="I489">
        <v>57</v>
      </c>
      <c r="J489" t="str">
        <f t="shared" si="14"/>
        <v>40+</v>
      </c>
      <c r="K489" t="s">
        <v>15</v>
      </c>
      <c r="L489">
        <v>3</v>
      </c>
      <c r="M489" t="str">
        <f t="shared" si="15"/>
        <v>Yes</v>
      </c>
      <c r="N489" t="str">
        <f>IF(user_behavior_dataset!$D489&lt;60,"Low",
IF(user_behavior_dataset!$D489&lt;=180,"Medium","High"))</f>
        <v>High</v>
      </c>
      <c r="O489" t="str">
        <f>IF(user_behavior_dataset!$H489&gt;=1341,"Yes","No")</f>
        <v>No</v>
      </c>
      <c r="P489" t="str">
        <f>IF(user_behavior_dataset!$F489&gt;=2229,"Yes","No")</f>
        <v>No</v>
      </c>
    </row>
    <row r="490" spans="1:16" x14ac:dyDescent="0.3">
      <c r="A490">
        <v>489</v>
      </c>
      <c r="B490" t="s">
        <v>16</v>
      </c>
      <c r="C490" t="s">
        <v>12</v>
      </c>
      <c r="D490">
        <v>416</v>
      </c>
      <c r="E490">
        <v>7.3</v>
      </c>
      <c r="F490">
        <v>1882</v>
      </c>
      <c r="G490">
        <v>62</v>
      </c>
      <c r="H490">
        <v>1333</v>
      </c>
      <c r="I490">
        <v>32</v>
      </c>
      <c r="J490" t="str">
        <f t="shared" si="14"/>
        <v>25–40</v>
      </c>
      <c r="K490" t="s">
        <v>15</v>
      </c>
      <c r="L490">
        <v>4</v>
      </c>
      <c r="M490" t="str">
        <f t="shared" si="15"/>
        <v>Yes</v>
      </c>
      <c r="N490" t="str">
        <f>IF(user_behavior_dataset!$D490&lt;60,"Low",
IF(user_behavior_dataset!$D490&lt;=180,"Medium","High"))</f>
        <v>High</v>
      </c>
      <c r="O490" t="str">
        <f>IF(user_behavior_dataset!$H490&gt;=1341,"Yes","No")</f>
        <v>No</v>
      </c>
      <c r="P490" t="str">
        <f>IF(user_behavior_dataset!$F490&gt;=2229,"Yes","No")</f>
        <v>No</v>
      </c>
    </row>
    <row r="491" spans="1:16" x14ac:dyDescent="0.3">
      <c r="A491">
        <v>490</v>
      </c>
      <c r="B491" t="s">
        <v>11</v>
      </c>
      <c r="C491" t="s">
        <v>12</v>
      </c>
      <c r="D491">
        <v>586</v>
      </c>
      <c r="E491">
        <v>9.3000000000000007</v>
      </c>
      <c r="F491">
        <v>2403</v>
      </c>
      <c r="G491">
        <v>94</v>
      </c>
      <c r="H491">
        <v>2332</v>
      </c>
      <c r="I491">
        <v>21</v>
      </c>
      <c r="J491" t="str">
        <f t="shared" si="14"/>
        <v>&lt;25</v>
      </c>
      <c r="K491" t="s">
        <v>13</v>
      </c>
      <c r="L491">
        <v>5</v>
      </c>
      <c r="M491" t="str">
        <f t="shared" si="15"/>
        <v>Yes</v>
      </c>
      <c r="N491" t="str">
        <f>IF(user_behavior_dataset!$D491&lt;60,"Low",
IF(user_behavior_dataset!$D491&lt;=180,"Medium","High"))</f>
        <v>High</v>
      </c>
      <c r="O491" t="str">
        <f>IF(user_behavior_dataset!$H491&gt;=1341,"Yes","No")</f>
        <v>Yes</v>
      </c>
      <c r="P491" t="str">
        <f>IF(user_behavior_dataset!$F491&gt;=2229,"Yes","No")</f>
        <v>Yes</v>
      </c>
    </row>
    <row r="492" spans="1:16" x14ac:dyDescent="0.3">
      <c r="A492">
        <v>491</v>
      </c>
      <c r="B492" t="s">
        <v>11</v>
      </c>
      <c r="C492" t="s">
        <v>12</v>
      </c>
      <c r="D492">
        <v>416</v>
      </c>
      <c r="E492">
        <v>6.1</v>
      </c>
      <c r="F492">
        <v>2279</v>
      </c>
      <c r="G492">
        <v>71</v>
      </c>
      <c r="H492">
        <v>1096</v>
      </c>
      <c r="I492">
        <v>47</v>
      </c>
      <c r="J492" t="str">
        <f t="shared" si="14"/>
        <v>40+</v>
      </c>
      <c r="K492" t="s">
        <v>13</v>
      </c>
      <c r="L492">
        <v>4</v>
      </c>
      <c r="M492" t="str">
        <f t="shared" si="15"/>
        <v>Yes</v>
      </c>
      <c r="N492" t="str">
        <f>IF(user_behavior_dataset!$D492&lt;60,"Low",
IF(user_behavior_dataset!$D492&lt;=180,"Medium","High"))</f>
        <v>High</v>
      </c>
      <c r="O492" t="str">
        <f>IF(user_behavior_dataset!$H492&gt;=1341,"Yes","No")</f>
        <v>No</v>
      </c>
      <c r="P492" t="str">
        <f>IF(user_behavior_dataset!$F492&gt;=2229,"Yes","No")</f>
        <v>Yes</v>
      </c>
    </row>
    <row r="493" spans="1:16" x14ac:dyDescent="0.3">
      <c r="A493">
        <v>492</v>
      </c>
      <c r="B493" t="s">
        <v>17</v>
      </c>
      <c r="C493" t="s">
        <v>18</v>
      </c>
      <c r="D493">
        <v>152</v>
      </c>
      <c r="E493">
        <v>3.7</v>
      </c>
      <c r="F493">
        <v>948</v>
      </c>
      <c r="G493">
        <v>22</v>
      </c>
      <c r="H493">
        <v>507</v>
      </c>
      <c r="I493">
        <v>53</v>
      </c>
      <c r="J493" t="str">
        <f t="shared" si="14"/>
        <v>40+</v>
      </c>
      <c r="K493" t="s">
        <v>15</v>
      </c>
      <c r="L493">
        <v>2</v>
      </c>
      <c r="M493" t="str">
        <f t="shared" si="15"/>
        <v>Yes</v>
      </c>
      <c r="N493" t="str">
        <f>IF(user_behavior_dataset!$D493&lt;60,"Low",
IF(user_behavior_dataset!$D493&lt;=180,"Medium","High"))</f>
        <v>Medium</v>
      </c>
      <c r="O493" t="str">
        <f>IF(user_behavior_dataset!$H493&gt;=1341,"Yes","No")</f>
        <v>No</v>
      </c>
      <c r="P493" t="str">
        <f>IF(user_behavior_dataset!$F493&gt;=2229,"Yes","No")</f>
        <v>No</v>
      </c>
    </row>
    <row r="494" spans="1:16" x14ac:dyDescent="0.3">
      <c r="A494">
        <v>493</v>
      </c>
      <c r="B494" t="s">
        <v>16</v>
      </c>
      <c r="C494" t="s">
        <v>12</v>
      </c>
      <c r="D494">
        <v>87</v>
      </c>
      <c r="E494">
        <v>1.5</v>
      </c>
      <c r="F494">
        <v>594</v>
      </c>
      <c r="G494">
        <v>19</v>
      </c>
      <c r="H494">
        <v>198</v>
      </c>
      <c r="I494">
        <v>36</v>
      </c>
      <c r="J494" t="str">
        <f t="shared" si="14"/>
        <v>25–40</v>
      </c>
      <c r="K494" t="s">
        <v>15</v>
      </c>
      <c r="L494">
        <v>1</v>
      </c>
      <c r="M494" t="str">
        <f t="shared" si="15"/>
        <v>Yes</v>
      </c>
      <c r="N494" t="str">
        <f>IF(user_behavior_dataset!$D494&lt;60,"Low",
IF(user_behavior_dataset!$D494&lt;=180,"Medium","High"))</f>
        <v>Medium</v>
      </c>
      <c r="O494" t="str">
        <f>IF(user_behavior_dataset!$H494&gt;=1341,"Yes","No")</f>
        <v>No</v>
      </c>
      <c r="P494" t="str">
        <f>IF(user_behavior_dataset!$F494&gt;=2229,"Yes","No")</f>
        <v>No</v>
      </c>
    </row>
    <row r="495" spans="1:16" x14ac:dyDescent="0.3">
      <c r="A495">
        <v>494</v>
      </c>
      <c r="B495" t="s">
        <v>14</v>
      </c>
      <c r="C495" t="s">
        <v>12</v>
      </c>
      <c r="D495">
        <v>329</v>
      </c>
      <c r="E495">
        <v>6.8</v>
      </c>
      <c r="F495">
        <v>1892</v>
      </c>
      <c r="G495">
        <v>69</v>
      </c>
      <c r="H495">
        <v>1383</v>
      </c>
      <c r="I495">
        <v>23</v>
      </c>
      <c r="J495" t="str">
        <f t="shared" si="14"/>
        <v>&lt;25</v>
      </c>
      <c r="K495" t="s">
        <v>13</v>
      </c>
      <c r="L495">
        <v>4</v>
      </c>
      <c r="M495" t="str">
        <f t="shared" si="15"/>
        <v>Yes</v>
      </c>
      <c r="N495" t="str">
        <f>IF(user_behavior_dataset!$D495&lt;60,"Low",
IF(user_behavior_dataset!$D495&lt;=180,"Medium","High"))</f>
        <v>High</v>
      </c>
      <c r="O495" t="str">
        <f>IF(user_behavior_dataset!$H495&gt;=1341,"Yes","No")</f>
        <v>Yes</v>
      </c>
      <c r="P495" t="str">
        <f>IF(user_behavior_dataset!$F495&gt;=2229,"Yes","No")</f>
        <v>No</v>
      </c>
    </row>
    <row r="496" spans="1:16" x14ac:dyDescent="0.3">
      <c r="A496">
        <v>495</v>
      </c>
      <c r="B496" t="s">
        <v>19</v>
      </c>
      <c r="C496" t="s">
        <v>12</v>
      </c>
      <c r="D496">
        <v>107</v>
      </c>
      <c r="E496">
        <v>2.5</v>
      </c>
      <c r="F496">
        <v>1176</v>
      </c>
      <c r="G496">
        <v>24</v>
      </c>
      <c r="H496">
        <v>545</v>
      </c>
      <c r="I496">
        <v>29</v>
      </c>
      <c r="J496" t="str">
        <f t="shared" si="14"/>
        <v>25–40</v>
      </c>
      <c r="K496" t="s">
        <v>15</v>
      </c>
      <c r="L496">
        <v>2</v>
      </c>
      <c r="M496" t="str">
        <f t="shared" si="15"/>
        <v>Yes</v>
      </c>
      <c r="N496" t="str">
        <f>IF(user_behavior_dataset!$D496&lt;60,"Low",
IF(user_behavior_dataset!$D496&lt;=180,"Medium","High"))</f>
        <v>Medium</v>
      </c>
      <c r="O496" t="str">
        <f>IF(user_behavior_dataset!$H496&gt;=1341,"Yes","No")</f>
        <v>No</v>
      </c>
      <c r="P496" t="str">
        <f>IF(user_behavior_dataset!$F496&gt;=2229,"Yes","No")</f>
        <v>No</v>
      </c>
    </row>
    <row r="497" spans="1:16" x14ac:dyDescent="0.3">
      <c r="A497">
        <v>496</v>
      </c>
      <c r="B497" t="s">
        <v>11</v>
      </c>
      <c r="C497" t="s">
        <v>12</v>
      </c>
      <c r="D497">
        <v>493</v>
      </c>
      <c r="E497">
        <v>10.9</v>
      </c>
      <c r="F497">
        <v>2928</v>
      </c>
      <c r="G497">
        <v>88</v>
      </c>
      <c r="H497">
        <v>2116</v>
      </c>
      <c r="I497">
        <v>57</v>
      </c>
      <c r="J497" t="str">
        <f t="shared" si="14"/>
        <v>40+</v>
      </c>
      <c r="K497" t="s">
        <v>13</v>
      </c>
      <c r="L497">
        <v>5</v>
      </c>
      <c r="M497" t="str">
        <f t="shared" si="15"/>
        <v>Yes</v>
      </c>
      <c r="N497" t="str">
        <f>IF(user_behavior_dataset!$D497&lt;60,"Low",
IF(user_behavior_dataset!$D497&lt;=180,"Medium","High"))</f>
        <v>High</v>
      </c>
      <c r="O497" t="str">
        <f>IF(user_behavior_dataset!$H497&gt;=1341,"Yes","No")</f>
        <v>Yes</v>
      </c>
      <c r="P497" t="str">
        <f>IF(user_behavior_dataset!$F497&gt;=2229,"Yes","No")</f>
        <v>Yes</v>
      </c>
    </row>
    <row r="498" spans="1:16" x14ac:dyDescent="0.3">
      <c r="A498">
        <v>497</v>
      </c>
      <c r="B498" t="s">
        <v>17</v>
      </c>
      <c r="C498" t="s">
        <v>18</v>
      </c>
      <c r="D498">
        <v>182</v>
      </c>
      <c r="E498">
        <v>4.8</v>
      </c>
      <c r="F498">
        <v>1500</v>
      </c>
      <c r="G498">
        <v>51</v>
      </c>
      <c r="H498">
        <v>807</v>
      </c>
      <c r="I498">
        <v>43</v>
      </c>
      <c r="J498" t="str">
        <f t="shared" si="14"/>
        <v>40+</v>
      </c>
      <c r="K498" t="s">
        <v>15</v>
      </c>
      <c r="L498">
        <v>3</v>
      </c>
      <c r="M498" t="str">
        <f t="shared" si="15"/>
        <v>Yes</v>
      </c>
      <c r="N498" t="str">
        <f>IF(user_behavior_dataset!$D498&lt;60,"Low",
IF(user_behavior_dataset!$D498&lt;=180,"Medium","High"))</f>
        <v>High</v>
      </c>
      <c r="O498" t="str">
        <f>IF(user_behavior_dataset!$H498&gt;=1341,"Yes","No")</f>
        <v>No</v>
      </c>
      <c r="P498" t="str">
        <f>IF(user_behavior_dataset!$F498&gt;=2229,"Yes","No")</f>
        <v>No</v>
      </c>
    </row>
    <row r="499" spans="1:16" x14ac:dyDescent="0.3">
      <c r="A499">
        <v>498</v>
      </c>
      <c r="B499" t="s">
        <v>17</v>
      </c>
      <c r="C499" t="s">
        <v>18</v>
      </c>
      <c r="D499">
        <v>102</v>
      </c>
      <c r="E499">
        <v>2.9</v>
      </c>
      <c r="F499">
        <v>918</v>
      </c>
      <c r="G499">
        <v>37</v>
      </c>
      <c r="H499">
        <v>362</v>
      </c>
      <c r="I499">
        <v>20</v>
      </c>
      <c r="J499" t="str">
        <f t="shared" si="14"/>
        <v>&lt;25</v>
      </c>
      <c r="K499" t="s">
        <v>15</v>
      </c>
      <c r="L499">
        <v>2</v>
      </c>
      <c r="M499" t="str">
        <f t="shared" si="15"/>
        <v>Yes</v>
      </c>
      <c r="N499" t="str">
        <f>IF(user_behavior_dataset!$D499&lt;60,"Low",
IF(user_behavior_dataset!$D499&lt;=180,"Medium","High"))</f>
        <v>Medium</v>
      </c>
      <c r="O499" t="str">
        <f>IF(user_behavior_dataset!$H499&gt;=1341,"Yes","No")</f>
        <v>No</v>
      </c>
      <c r="P499" t="str">
        <f>IF(user_behavior_dataset!$F499&gt;=2229,"Yes","No")</f>
        <v>No</v>
      </c>
    </row>
    <row r="500" spans="1:16" x14ac:dyDescent="0.3">
      <c r="A500">
        <v>499</v>
      </c>
      <c r="B500" t="s">
        <v>11</v>
      </c>
      <c r="C500" t="s">
        <v>12</v>
      </c>
      <c r="D500">
        <v>274</v>
      </c>
      <c r="E500">
        <v>4.5</v>
      </c>
      <c r="F500">
        <v>1356</v>
      </c>
      <c r="G500">
        <v>54</v>
      </c>
      <c r="H500">
        <v>869</v>
      </c>
      <c r="I500">
        <v>53</v>
      </c>
      <c r="J500" t="str">
        <f t="shared" si="14"/>
        <v>40+</v>
      </c>
      <c r="K500" t="s">
        <v>13</v>
      </c>
      <c r="L500">
        <v>3</v>
      </c>
      <c r="M500" t="str">
        <f t="shared" si="15"/>
        <v>Yes</v>
      </c>
      <c r="N500" t="str">
        <f>IF(user_behavior_dataset!$D500&lt;60,"Low",
IF(user_behavior_dataset!$D500&lt;=180,"Medium","High"))</f>
        <v>High</v>
      </c>
      <c r="O500" t="str">
        <f>IF(user_behavior_dataset!$H500&gt;=1341,"Yes","No")</f>
        <v>No</v>
      </c>
      <c r="P500" t="str">
        <f>IF(user_behavior_dataset!$F500&gt;=2229,"Yes","No")</f>
        <v>No</v>
      </c>
    </row>
    <row r="501" spans="1:16" x14ac:dyDescent="0.3">
      <c r="A501">
        <v>500</v>
      </c>
      <c r="B501" t="s">
        <v>17</v>
      </c>
      <c r="C501" t="s">
        <v>18</v>
      </c>
      <c r="D501">
        <v>143</v>
      </c>
      <c r="E501">
        <v>3.6</v>
      </c>
      <c r="F501">
        <v>988</v>
      </c>
      <c r="G501">
        <v>26</v>
      </c>
      <c r="H501">
        <v>504</v>
      </c>
      <c r="I501">
        <v>45</v>
      </c>
      <c r="J501" t="str">
        <f t="shared" si="14"/>
        <v>40+</v>
      </c>
      <c r="K501" t="s">
        <v>15</v>
      </c>
      <c r="L501">
        <v>2</v>
      </c>
      <c r="M501" t="str">
        <f t="shared" si="15"/>
        <v>Yes</v>
      </c>
      <c r="N501" t="str">
        <f>IF(user_behavior_dataset!$D501&lt;60,"Low",
IF(user_behavior_dataset!$D501&lt;=180,"Medium","High"))</f>
        <v>Medium</v>
      </c>
      <c r="O501" t="str">
        <f>IF(user_behavior_dataset!$H501&gt;=1341,"Yes","No")</f>
        <v>No</v>
      </c>
      <c r="P501" t="str">
        <f>IF(user_behavior_dataset!$F501&gt;=2229,"Yes","No")</f>
        <v>No</v>
      </c>
    </row>
    <row r="502" spans="1:16" x14ac:dyDescent="0.3">
      <c r="A502">
        <v>501</v>
      </c>
      <c r="B502" t="s">
        <v>11</v>
      </c>
      <c r="C502" t="s">
        <v>12</v>
      </c>
      <c r="D502">
        <v>66</v>
      </c>
      <c r="E502">
        <v>1.3</v>
      </c>
      <c r="F502">
        <v>369</v>
      </c>
      <c r="G502">
        <v>14</v>
      </c>
      <c r="H502">
        <v>195</v>
      </c>
      <c r="I502">
        <v>32</v>
      </c>
      <c r="J502" t="str">
        <f t="shared" si="14"/>
        <v>25–40</v>
      </c>
      <c r="K502" t="s">
        <v>13</v>
      </c>
      <c r="L502">
        <v>1</v>
      </c>
      <c r="M502" t="str">
        <f t="shared" si="15"/>
        <v>Yes</v>
      </c>
      <c r="N502" t="str">
        <f>IF(user_behavior_dataset!$D502&lt;60,"Low",
IF(user_behavior_dataset!$D502&lt;=180,"Medium","High"))</f>
        <v>Medium</v>
      </c>
      <c r="O502" t="str">
        <f>IF(user_behavior_dataset!$H502&gt;=1341,"Yes","No")</f>
        <v>No</v>
      </c>
      <c r="P502" t="str">
        <f>IF(user_behavior_dataset!$F502&gt;=2229,"Yes","No")</f>
        <v>No</v>
      </c>
    </row>
    <row r="503" spans="1:16" x14ac:dyDescent="0.3">
      <c r="A503">
        <v>502</v>
      </c>
      <c r="B503" t="s">
        <v>16</v>
      </c>
      <c r="C503" t="s">
        <v>12</v>
      </c>
      <c r="D503">
        <v>420</v>
      </c>
      <c r="E503">
        <v>7.7</v>
      </c>
      <c r="F503">
        <v>2017</v>
      </c>
      <c r="G503">
        <v>74</v>
      </c>
      <c r="H503">
        <v>1187</v>
      </c>
      <c r="I503">
        <v>24</v>
      </c>
      <c r="J503" t="str">
        <f t="shared" si="14"/>
        <v>&lt;25</v>
      </c>
      <c r="K503" t="s">
        <v>15</v>
      </c>
      <c r="L503">
        <v>4</v>
      </c>
      <c r="M503" t="str">
        <f t="shared" si="15"/>
        <v>Yes</v>
      </c>
      <c r="N503" t="str">
        <f>IF(user_behavior_dataset!$D503&lt;60,"Low",
IF(user_behavior_dataset!$D503&lt;=180,"Medium","High"))</f>
        <v>High</v>
      </c>
      <c r="O503" t="str">
        <f>IF(user_behavior_dataset!$H503&gt;=1341,"Yes","No")</f>
        <v>No</v>
      </c>
      <c r="P503" t="str">
        <f>IF(user_behavior_dataset!$F503&gt;=2229,"Yes","No")</f>
        <v>No</v>
      </c>
    </row>
    <row r="504" spans="1:16" x14ac:dyDescent="0.3">
      <c r="A504">
        <v>503</v>
      </c>
      <c r="B504" t="s">
        <v>16</v>
      </c>
      <c r="C504" t="s">
        <v>12</v>
      </c>
      <c r="D504">
        <v>582</v>
      </c>
      <c r="E504">
        <v>8.4</v>
      </c>
      <c r="F504">
        <v>2664</v>
      </c>
      <c r="G504">
        <v>91</v>
      </c>
      <c r="H504">
        <v>2493</v>
      </c>
      <c r="I504">
        <v>55</v>
      </c>
      <c r="J504" t="str">
        <f t="shared" si="14"/>
        <v>40+</v>
      </c>
      <c r="K504" t="s">
        <v>15</v>
      </c>
      <c r="L504">
        <v>5</v>
      </c>
      <c r="M504" t="str">
        <f t="shared" si="15"/>
        <v>Yes</v>
      </c>
      <c r="N504" t="str">
        <f>IF(user_behavior_dataset!$D504&lt;60,"Low",
IF(user_behavior_dataset!$D504&lt;=180,"Medium","High"))</f>
        <v>High</v>
      </c>
      <c r="O504" t="str">
        <f>IF(user_behavior_dataset!$H504&gt;=1341,"Yes","No")</f>
        <v>Yes</v>
      </c>
      <c r="P504" t="str">
        <f>IF(user_behavior_dataset!$F504&gt;=2229,"Yes","No")</f>
        <v>Yes</v>
      </c>
    </row>
    <row r="505" spans="1:16" x14ac:dyDescent="0.3">
      <c r="A505">
        <v>504</v>
      </c>
      <c r="B505" t="s">
        <v>11</v>
      </c>
      <c r="C505" t="s">
        <v>12</v>
      </c>
      <c r="D505">
        <v>200</v>
      </c>
      <c r="E505">
        <v>5.8</v>
      </c>
      <c r="F505">
        <v>1291</v>
      </c>
      <c r="G505">
        <v>50</v>
      </c>
      <c r="H505">
        <v>965</v>
      </c>
      <c r="I505">
        <v>52</v>
      </c>
      <c r="J505" t="str">
        <f t="shared" si="14"/>
        <v>40+</v>
      </c>
      <c r="K505" t="s">
        <v>13</v>
      </c>
      <c r="L505">
        <v>3</v>
      </c>
      <c r="M505" t="str">
        <f t="shared" si="15"/>
        <v>Yes</v>
      </c>
      <c r="N505" t="str">
        <f>IF(user_behavior_dataset!$D505&lt;60,"Low",
IF(user_behavior_dataset!$D505&lt;=180,"Medium","High"))</f>
        <v>High</v>
      </c>
      <c r="O505" t="str">
        <f>IF(user_behavior_dataset!$H505&gt;=1341,"Yes","No")</f>
        <v>No</v>
      </c>
      <c r="P505" t="str">
        <f>IF(user_behavior_dataset!$F505&gt;=2229,"Yes","No")</f>
        <v>No</v>
      </c>
    </row>
    <row r="506" spans="1:16" x14ac:dyDescent="0.3">
      <c r="A506">
        <v>505</v>
      </c>
      <c r="B506" t="s">
        <v>11</v>
      </c>
      <c r="C506" t="s">
        <v>12</v>
      </c>
      <c r="D506">
        <v>493</v>
      </c>
      <c r="E506">
        <v>8.5</v>
      </c>
      <c r="F506">
        <v>2859</v>
      </c>
      <c r="G506">
        <v>99</v>
      </c>
      <c r="H506">
        <v>2450</v>
      </c>
      <c r="I506">
        <v>47</v>
      </c>
      <c r="J506" t="str">
        <f t="shared" si="14"/>
        <v>40+</v>
      </c>
      <c r="K506" t="s">
        <v>13</v>
      </c>
      <c r="L506">
        <v>5</v>
      </c>
      <c r="M506" t="str">
        <f t="shared" si="15"/>
        <v>Yes</v>
      </c>
      <c r="N506" t="str">
        <f>IF(user_behavior_dataset!$D506&lt;60,"Low",
IF(user_behavior_dataset!$D506&lt;=180,"Medium","High"))</f>
        <v>High</v>
      </c>
      <c r="O506" t="str">
        <f>IF(user_behavior_dataset!$H506&gt;=1341,"Yes","No")</f>
        <v>Yes</v>
      </c>
      <c r="P506" t="str">
        <f>IF(user_behavior_dataset!$F506&gt;=2229,"Yes","No")</f>
        <v>Yes</v>
      </c>
    </row>
    <row r="507" spans="1:16" x14ac:dyDescent="0.3">
      <c r="A507">
        <v>506</v>
      </c>
      <c r="B507" t="s">
        <v>19</v>
      </c>
      <c r="C507" t="s">
        <v>12</v>
      </c>
      <c r="D507">
        <v>348</v>
      </c>
      <c r="E507">
        <v>6.6</v>
      </c>
      <c r="F507">
        <v>2398</v>
      </c>
      <c r="G507">
        <v>66</v>
      </c>
      <c r="H507">
        <v>1415</v>
      </c>
      <c r="I507">
        <v>49</v>
      </c>
      <c r="J507" t="str">
        <f t="shared" si="14"/>
        <v>40+</v>
      </c>
      <c r="K507" t="s">
        <v>15</v>
      </c>
      <c r="L507">
        <v>4</v>
      </c>
      <c r="M507" t="str">
        <f t="shared" si="15"/>
        <v>Yes</v>
      </c>
      <c r="N507" t="str">
        <f>IF(user_behavior_dataset!$D507&lt;60,"Low",
IF(user_behavior_dataset!$D507&lt;=180,"Medium","High"))</f>
        <v>High</v>
      </c>
      <c r="O507" t="str">
        <f>IF(user_behavior_dataset!$H507&gt;=1341,"Yes","No")</f>
        <v>Yes</v>
      </c>
      <c r="P507" t="str">
        <f>IF(user_behavior_dataset!$F507&gt;=2229,"Yes","No")</f>
        <v>Yes</v>
      </c>
    </row>
    <row r="508" spans="1:16" x14ac:dyDescent="0.3">
      <c r="A508">
        <v>507</v>
      </c>
      <c r="B508" t="s">
        <v>16</v>
      </c>
      <c r="C508" t="s">
        <v>12</v>
      </c>
      <c r="D508">
        <v>238</v>
      </c>
      <c r="E508">
        <v>5.0999999999999996</v>
      </c>
      <c r="F508">
        <v>1408</v>
      </c>
      <c r="G508">
        <v>45</v>
      </c>
      <c r="H508">
        <v>941</v>
      </c>
      <c r="I508">
        <v>27</v>
      </c>
      <c r="J508" t="str">
        <f t="shared" si="14"/>
        <v>25–40</v>
      </c>
      <c r="K508" t="s">
        <v>13</v>
      </c>
      <c r="L508">
        <v>3</v>
      </c>
      <c r="M508" t="str">
        <f t="shared" si="15"/>
        <v>Yes</v>
      </c>
      <c r="N508" t="str">
        <f>IF(user_behavior_dataset!$D508&lt;60,"Low",
IF(user_behavior_dataset!$D508&lt;=180,"Medium","High"))</f>
        <v>High</v>
      </c>
      <c r="O508" t="str">
        <f>IF(user_behavior_dataset!$H508&gt;=1341,"Yes","No")</f>
        <v>No</v>
      </c>
      <c r="P508" t="str">
        <f>IF(user_behavior_dataset!$F508&gt;=2229,"Yes","No")</f>
        <v>No</v>
      </c>
    </row>
    <row r="509" spans="1:16" x14ac:dyDescent="0.3">
      <c r="A509">
        <v>508</v>
      </c>
      <c r="B509" t="s">
        <v>16</v>
      </c>
      <c r="C509" t="s">
        <v>12</v>
      </c>
      <c r="D509">
        <v>33</v>
      </c>
      <c r="E509">
        <v>2</v>
      </c>
      <c r="F509">
        <v>318</v>
      </c>
      <c r="G509">
        <v>11</v>
      </c>
      <c r="H509">
        <v>173</v>
      </c>
      <c r="I509">
        <v>42</v>
      </c>
      <c r="J509" t="str">
        <f t="shared" si="14"/>
        <v>40+</v>
      </c>
      <c r="K509" t="s">
        <v>15</v>
      </c>
      <c r="L509">
        <v>1</v>
      </c>
      <c r="M509" t="str">
        <f t="shared" si="15"/>
        <v>No</v>
      </c>
      <c r="N509" t="str">
        <f>IF(user_behavior_dataset!$D509&lt;60,"Low",
IF(user_behavior_dataset!$D509&lt;=180,"Medium","High"))</f>
        <v>Low</v>
      </c>
      <c r="O509" t="str">
        <f>IF(user_behavior_dataset!$H509&gt;=1341,"Yes","No")</f>
        <v>No</v>
      </c>
      <c r="P509" t="str">
        <f>IF(user_behavior_dataset!$F509&gt;=2229,"Yes","No")</f>
        <v>No</v>
      </c>
    </row>
    <row r="510" spans="1:16" x14ac:dyDescent="0.3">
      <c r="A510">
        <v>509</v>
      </c>
      <c r="B510" t="s">
        <v>11</v>
      </c>
      <c r="C510" t="s">
        <v>12</v>
      </c>
      <c r="D510">
        <v>267</v>
      </c>
      <c r="E510">
        <v>5.9</v>
      </c>
      <c r="F510">
        <v>1740</v>
      </c>
      <c r="G510">
        <v>45</v>
      </c>
      <c r="H510">
        <v>791</v>
      </c>
      <c r="I510">
        <v>22</v>
      </c>
      <c r="J510" t="str">
        <f t="shared" si="14"/>
        <v>&lt;25</v>
      </c>
      <c r="K510" t="s">
        <v>13</v>
      </c>
      <c r="L510">
        <v>3</v>
      </c>
      <c r="M510" t="str">
        <f t="shared" si="15"/>
        <v>Yes</v>
      </c>
      <c r="N510" t="str">
        <f>IF(user_behavior_dataset!$D510&lt;60,"Low",
IF(user_behavior_dataset!$D510&lt;=180,"Medium","High"))</f>
        <v>High</v>
      </c>
      <c r="O510" t="str">
        <f>IF(user_behavior_dataset!$H510&gt;=1341,"Yes","No")</f>
        <v>No</v>
      </c>
      <c r="P510" t="str">
        <f>IF(user_behavior_dataset!$F510&gt;=2229,"Yes","No")</f>
        <v>No</v>
      </c>
    </row>
    <row r="511" spans="1:16" x14ac:dyDescent="0.3">
      <c r="A511">
        <v>510</v>
      </c>
      <c r="B511" t="s">
        <v>17</v>
      </c>
      <c r="C511" t="s">
        <v>18</v>
      </c>
      <c r="D511">
        <v>492</v>
      </c>
      <c r="E511">
        <v>10</v>
      </c>
      <c r="F511">
        <v>2513</v>
      </c>
      <c r="G511">
        <v>90</v>
      </c>
      <c r="H511">
        <v>1968</v>
      </c>
      <c r="I511">
        <v>31</v>
      </c>
      <c r="J511" t="str">
        <f t="shared" si="14"/>
        <v>25–40</v>
      </c>
      <c r="K511" t="s">
        <v>13</v>
      </c>
      <c r="L511">
        <v>5</v>
      </c>
      <c r="M511" t="str">
        <f t="shared" si="15"/>
        <v>Yes</v>
      </c>
      <c r="N511" t="str">
        <f>IF(user_behavior_dataset!$D511&lt;60,"Low",
IF(user_behavior_dataset!$D511&lt;=180,"Medium","High"))</f>
        <v>High</v>
      </c>
      <c r="O511" t="str">
        <f>IF(user_behavior_dataset!$H511&gt;=1341,"Yes","No")</f>
        <v>Yes</v>
      </c>
      <c r="P511" t="str">
        <f>IF(user_behavior_dataset!$F511&gt;=2229,"Yes","No")</f>
        <v>Yes</v>
      </c>
    </row>
    <row r="512" spans="1:16" x14ac:dyDescent="0.3">
      <c r="A512">
        <v>511</v>
      </c>
      <c r="B512" t="s">
        <v>11</v>
      </c>
      <c r="C512" t="s">
        <v>12</v>
      </c>
      <c r="D512">
        <v>241</v>
      </c>
      <c r="E512">
        <v>5.3</v>
      </c>
      <c r="F512">
        <v>1767</v>
      </c>
      <c r="G512">
        <v>58</v>
      </c>
      <c r="H512">
        <v>976</v>
      </c>
      <c r="I512">
        <v>38</v>
      </c>
      <c r="J512" t="str">
        <f t="shared" si="14"/>
        <v>25–40</v>
      </c>
      <c r="K512" t="s">
        <v>15</v>
      </c>
      <c r="L512">
        <v>3</v>
      </c>
      <c r="M512" t="str">
        <f t="shared" si="15"/>
        <v>Yes</v>
      </c>
      <c r="N512" t="str">
        <f>IF(user_behavior_dataset!$D512&lt;60,"Low",
IF(user_behavior_dataset!$D512&lt;=180,"Medium","High"))</f>
        <v>High</v>
      </c>
      <c r="O512" t="str">
        <f>IF(user_behavior_dataset!$H512&gt;=1341,"Yes","No")</f>
        <v>No</v>
      </c>
      <c r="P512" t="str">
        <f>IF(user_behavior_dataset!$F512&gt;=2229,"Yes","No")</f>
        <v>No</v>
      </c>
    </row>
    <row r="513" spans="1:16" x14ac:dyDescent="0.3">
      <c r="A513">
        <v>512</v>
      </c>
      <c r="B513" t="s">
        <v>19</v>
      </c>
      <c r="C513" t="s">
        <v>12</v>
      </c>
      <c r="D513">
        <v>567</v>
      </c>
      <c r="E513">
        <v>10.8</v>
      </c>
      <c r="F513">
        <v>2911</v>
      </c>
      <c r="G513">
        <v>89</v>
      </c>
      <c r="H513">
        <v>1682</v>
      </c>
      <c r="I513">
        <v>39</v>
      </c>
      <c r="J513" t="str">
        <f t="shared" si="14"/>
        <v>25–40</v>
      </c>
      <c r="K513" t="s">
        <v>13</v>
      </c>
      <c r="L513">
        <v>5</v>
      </c>
      <c r="M513" t="str">
        <f t="shared" si="15"/>
        <v>Yes</v>
      </c>
      <c r="N513" t="str">
        <f>IF(user_behavior_dataset!$D513&lt;60,"Low",
IF(user_behavior_dataset!$D513&lt;=180,"Medium","High"))</f>
        <v>High</v>
      </c>
      <c r="O513" t="str">
        <f>IF(user_behavior_dataset!$H513&gt;=1341,"Yes","No")</f>
        <v>Yes</v>
      </c>
      <c r="P513" t="str">
        <f>IF(user_behavior_dataset!$F513&gt;=2229,"Yes","No")</f>
        <v>Yes</v>
      </c>
    </row>
    <row r="514" spans="1:16" x14ac:dyDescent="0.3">
      <c r="A514">
        <v>513</v>
      </c>
      <c r="B514" t="s">
        <v>19</v>
      </c>
      <c r="C514" t="s">
        <v>12</v>
      </c>
      <c r="D514">
        <v>36</v>
      </c>
      <c r="E514">
        <v>1.6</v>
      </c>
      <c r="F514">
        <v>442</v>
      </c>
      <c r="G514">
        <v>17</v>
      </c>
      <c r="H514">
        <v>249</v>
      </c>
      <c r="I514">
        <v>34</v>
      </c>
      <c r="J514" t="str">
        <f t="shared" si="14"/>
        <v>25–40</v>
      </c>
      <c r="K514" t="s">
        <v>13</v>
      </c>
      <c r="L514">
        <v>1</v>
      </c>
      <c r="M514" t="str">
        <f t="shared" si="15"/>
        <v>No</v>
      </c>
      <c r="N514" t="str">
        <f>IF(user_behavior_dataset!$D514&lt;60,"Low",
IF(user_behavior_dataset!$D514&lt;=180,"Medium","High"))</f>
        <v>Low</v>
      </c>
      <c r="O514" t="str">
        <f>IF(user_behavior_dataset!$H514&gt;=1341,"Yes","No")</f>
        <v>No</v>
      </c>
      <c r="P514" t="str">
        <f>IF(user_behavior_dataset!$F514&gt;=2229,"Yes","No")</f>
        <v>No</v>
      </c>
    </row>
    <row r="515" spans="1:16" x14ac:dyDescent="0.3">
      <c r="A515">
        <v>514</v>
      </c>
      <c r="B515" t="s">
        <v>14</v>
      </c>
      <c r="C515" t="s">
        <v>12</v>
      </c>
      <c r="D515">
        <v>110</v>
      </c>
      <c r="E515">
        <v>3.4</v>
      </c>
      <c r="F515">
        <v>975</v>
      </c>
      <c r="G515">
        <v>31</v>
      </c>
      <c r="H515">
        <v>507</v>
      </c>
      <c r="I515">
        <v>57</v>
      </c>
      <c r="J515" t="str">
        <f t="shared" ref="J515:J578" si="16">IF(I515="","Unknown",IF(I515&lt;25,"&lt;25",IF(I515&lt;=40,"25–40","40+")))</f>
        <v>40+</v>
      </c>
      <c r="K515" t="s">
        <v>15</v>
      </c>
      <c r="L515">
        <v>2</v>
      </c>
      <c r="M515" t="str">
        <f t="shared" ref="M515:M578" si="17">IF(D515&gt;=60,"Yes","No")</f>
        <v>Yes</v>
      </c>
      <c r="N515" t="str">
        <f>IF(user_behavior_dataset!$D515&lt;60,"Low",
IF(user_behavior_dataset!$D515&lt;=180,"Medium","High"))</f>
        <v>Medium</v>
      </c>
      <c r="O515" t="str">
        <f>IF(user_behavior_dataset!$H515&gt;=1341,"Yes","No")</f>
        <v>No</v>
      </c>
      <c r="P515" t="str">
        <f>IF(user_behavior_dataset!$F515&gt;=2229,"Yes","No")</f>
        <v>No</v>
      </c>
    </row>
    <row r="516" spans="1:16" x14ac:dyDescent="0.3">
      <c r="A516">
        <v>515</v>
      </c>
      <c r="B516" t="s">
        <v>19</v>
      </c>
      <c r="C516" t="s">
        <v>12</v>
      </c>
      <c r="D516">
        <v>466</v>
      </c>
      <c r="E516">
        <v>7.1</v>
      </c>
      <c r="F516">
        <v>1984</v>
      </c>
      <c r="G516">
        <v>73</v>
      </c>
      <c r="H516">
        <v>1461</v>
      </c>
      <c r="I516">
        <v>54</v>
      </c>
      <c r="J516" t="str">
        <f t="shared" si="16"/>
        <v>40+</v>
      </c>
      <c r="K516" t="s">
        <v>13</v>
      </c>
      <c r="L516">
        <v>4</v>
      </c>
      <c r="M516" t="str">
        <f t="shared" si="17"/>
        <v>Yes</v>
      </c>
      <c r="N516" t="str">
        <f>IF(user_behavior_dataset!$D516&lt;60,"Low",
IF(user_behavior_dataset!$D516&lt;=180,"Medium","High"))</f>
        <v>High</v>
      </c>
      <c r="O516" t="str">
        <f>IF(user_behavior_dataset!$H516&gt;=1341,"Yes","No")</f>
        <v>Yes</v>
      </c>
      <c r="P516" t="str">
        <f>IF(user_behavior_dataset!$F516&gt;=2229,"Yes","No")</f>
        <v>No</v>
      </c>
    </row>
    <row r="517" spans="1:16" x14ac:dyDescent="0.3">
      <c r="A517">
        <v>516</v>
      </c>
      <c r="B517" t="s">
        <v>14</v>
      </c>
      <c r="C517" t="s">
        <v>12</v>
      </c>
      <c r="D517">
        <v>126</v>
      </c>
      <c r="E517">
        <v>2.2000000000000002</v>
      </c>
      <c r="F517">
        <v>1187</v>
      </c>
      <c r="G517">
        <v>28</v>
      </c>
      <c r="H517">
        <v>599</v>
      </c>
      <c r="I517">
        <v>25</v>
      </c>
      <c r="J517" t="str">
        <f t="shared" si="16"/>
        <v>25–40</v>
      </c>
      <c r="K517" t="s">
        <v>13</v>
      </c>
      <c r="L517">
        <v>2</v>
      </c>
      <c r="M517" t="str">
        <f t="shared" si="17"/>
        <v>Yes</v>
      </c>
      <c r="N517" t="str">
        <f>IF(user_behavior_dataset!$D517&lt;60,"Low",
IF(user_behavior_dataset!$D517&lt;=180,"Medium","High"))</f>
        <v>Medium</v>
      </c>
      <c r="O517" t="str">
        <f>IF(user_behavior_dataset!$H517&gt;=1341,"Yes","No")</f>
        <v>No</v>
      </c>
      <c r="P517" t="str">
        <f>IF(user_behavior_dataset!$F517&gt;=2229,"Yes","No")</f>
        <v>No</v>
      </c>
    </row>
    <row r="518" spans="1:16" x14ac:dyDescent="0.3">
      <c r="A518">
        <v>517</v>
      </c>
      <c r="B518" t="s">
        <v>16</v>
      </c>
      <c r="C518" t="s">
        <v>12</v>
      </c>
      <c r="D518">
        <v>120</v>
      </c>
      <c r="E518">
        <v>3.8</v>
      </c>
      <c r="F518">
        <v>940</v>
      </c>
      <c r="G518">
        <v>36</v>
      </c>
      <c r="H518">
        <v>535</v>
      </c>
      <c r="I518">
        <v>44</v>
      </c>
      <c r="J518" t="str">
        <f t="shared" si="16"/>
        <v>40+</v>
      </c>
      <c r="K518" t="s">
        <v>13</v>
      </c>
      <c r="L518">
        <v>2</v>
      </c>
      <c r="M518" t="str">
        <f t="shared" si="17"/>
        <v>Yes</v>
      </c>
      <c r="N518" t="str">
        <f>IF(user_behavior_dataset!$D518&lt;60,"Low",
IF(user_behavior_dataset!$D518&lt;=180,"Medium","High"))</f>
        <v>Medium</v>
      </c>
      <c r="O518" t="str">
        <f>IF(user_behavior_dataset!$H518&gt;=1341,"Yes","No")</f>
        <v>No</v>
      </c>
      <c r="P518" t="str">
        <f>IF(user_behavior_dataset!$F518&gt;=2229,"Yes","No")</f>
        <v>No</v>
      </c>
    </row>
    <row r="519" spans="1:16" x14ac:dyDescent="0.3">
      <c r="A519">
        <v>518</v>
      </c>
      <c r="B519" t="s">
        <v>17</v>
      </c>
      <c r="C519" t="s">
        <v>18</v>
      </c>
      <c r="D519">
        <v>64</v>
      </c>
      <c r="E519">
        <v>1.2</v>
      </c>
      <c r="F519">
        <v>592</v>
      </c>
      <c r="G519">
        <v>19</v>
      </c>
      <c r="H519">
        <v>218</v>
      </c>
      <c r="I519">
        <v>25</v>
      </c>
      <c r="J519" t="str">
        <f t="shared" si="16"/>
        <v>25–40</v>
      </c>
      <c r="K519" t="s">
        <v>13</v>
      </c>
      <c r="L519">
        <v>1</v>
      </c>
      <c r="M519" t="str">
        <f t="shared" si="17"/>
        <v>Yes</v>
      </c>
      <c r="N519" t="str">
        <f>IF(user_behavior_dataset!$D519&lt;60,"Low",
IF(user_behavior_dataset!$D519&lt;=180,"Medium","High"))</f>
        <v>Medium</v>
      </c>
      <c r="O519" t="str">
        <f>IF(user_behavior_dataset!$H519&gt;=1341,"Yes","No")</f>
        <v>No</v>
      </c>
      <c r="P519" t="str">
        <f>IF(user_behavior_dataset!$F519&gt;=2229,"Yes","No")</f>
        <v>No</v>
      </c>
    </row>
    <row r="520" spans="1:16" x14ac:dyDescent="0.3">
      <c r="A520">
        <v>519</v>
      </c>
      <c r="B520" t="s">
        <v>14</v>
      </c>
      <c r="C520" t="s">
        <v>12</v>
      </c>
      <c r="D520">
        <v>574</v>
      </c>
      <c r="E520">
        <v>8.5</v>
      </c>
      <c r="F520">
        <v>2780</v>
      </c>
      <c r="G520">
        <v>87</v>
      </c>
      <c r="H520">
        <v>1809</v>
      </c>
      <c r="I520">
        <v>34</v>
      </c>
      <c r="J520" t="str">
        <f t="shared" si="16"/>
        <v>25–40</v>
      </c>
      <c r="K520" t="s">
        <v>15</v>
      </c>
      <c r="L520">
        <v>5</v>
      </c>
      <c r="M520" t="str">
        <f t="shared" si="17"/>
        <v>Yes</v>
      </c>
      <c r="N520" t="str">
        <f>IF(user_behavior_dataset!$D520&lt;60,"Low",
IF(user_behavior_dataset!$D520&lt;=180,"Medium","High"))</f>
        <v>High</v>
      </c>
      <c r="O520" t="str">
        <f>IF(user_behavior_dataset!$H520&gt;=1341,"Yes","No")</f>
        <v>Yes</v>
      </c>
      <c r="P520" t="str">
        <f>IF(user_behavior_dataset!$F520&gt;=2229,"Yes","No")</f>
        <v>Yes</v>
      </c>
    </row>
    <row r="521" spans="1:16" x14ac:dyDescent="0.3">
      <c r="A521">
        <v>520</v>
      </c>
      <c r="B521" t="s">
        <v>14</v>
      </c>
      <c r="C521" t="s">
        <v>12</v>
      </c>
      <c r="D521">
        <v>119</v>
      </c>
      <c r="E521">
        <v>2.2000000000000002</v>
      </c>
      <c r="F521">
        <v>1123</v>
      </c>
      <c r="G521">
        <v>22</v>
      </c>
      <c r="H521">
        <v>371</v>
      </c>
      <c r="I521">
        <v>51</v>
      </c>
      <c r="J521" t="str">
        <f t="shared" si="16"/>
        <v>40+</v>
      </c>
      <c r="K521" t="s">
        <v>13</v>
      </c>
      <c r="L521">
        <v>2</v>
      </c>
      <c r="M521" t="str">
        <f t="shared" si="17"/>
        <v>Yes</v>
      </c>
      <c r="N521" t="str">
        <f>IF(user_behavior_dataset!$D521&lt;60,"Low",
IF(user_behavior_dataset!$D521&lt;=180,"Medium","High"))</f>
        <v>Medium</v>
      </c>
      <c r="O521" t="str">
        <f>IF(user_behavior_dataset!$H521&gt;=1341,"Yes","No")</f>
        <v>No</v>
      </c>
      <c r="P521" t="str">
        <f>IF(user_behavior_dataset!$F521&gt;=2229,"Yes","No")</f>
        <v>No</v>
      </c>
    </row>
    <row r="522" spans="1:16" x14ac:dyDescent="0.3">
      <c r="A522">
        <v>521</v>
      </c>
      <c r="B522" t="s">
        <v>14</v>
      </c>
      <c r="C522" t="s">
        <v>12</v>
      </c>
      <c r="D522">
        <v>350</v>
      </c>
      <c r="E522">
        <v>6.5</v>
      </c>
      <c r="F522">
        <v>2364</v>
      </c>
      <c r="G522">
        <v>75</v>
      </c>
      <c r="H522">
        <v>1485</v>
      </c>
      <c r="I522">
        <v>20</v>
      </c>
      <c r="J522" t="str">
        <f t="shared" si="16"/>
        <v>&lt;25</v>
      </c>
      <c r="K522" t="s">
        <v>13</v>
      </c>
      <c r="L522">
        <v>4</v>
      </c>
      <c r="M522" t="str">
        <f t="shared" si="17"/>
        <v>Yes</v>
      </c>
      <c r="N522" t="str">
        <f>IF(user_behavior_dataset!$D522&lt;60,"Low",
IF(user_behavior_dataset!$D522&lt;=180,"Medium","High"))</f>
        <v>High</v>
      </c>
      <c r="O522" t="str">
        <f>IF(user_behavior_dataset!$H522&gt;=1341,"Yes","No")</f>
        <v>Yes</v>
      </c>
      <c r="P522" t="str">
        <f>IF(user_behavior_dataset!$F522&gt;=2229,"Yes","No")</f>
        <v>Yes</v>
      </c>
    </row>
    <row r="523" spans="1:16" x14ac:dyDescent="0.3">
      <c r="A523">
        <v>522</v>
      </c>
      <c r="B523" t="s">
        <v>11</v>
      </c>
      <c r="C523" t="s">
        <v>12</v>
      </c>
      <c r="D523">
        <v>69</v>
      </c>
      <c r="E523">
        <v>1.1000000000000001</v>
      </c>
      <c r="F523">
        <v>535</v>
      </c>
      <c r="G523">
        <v>17</v>
      </c>
      <c r="H523">
        <v>250</v>
      </c>
      <c r="I523">
        <v>25</v>
      </c>
      <c r="J523" t="str">
        <f t="shared" si="16"/>
        <v>25–40</v>
      </c>
      <c r="K523" t="s">
        <v>13</v>
      </c>
      <c r="L523">
        <v>1</v>
      </c>
      <c r="M523" t="str">
        <f t="shared" si="17"/>
        <v>Yes</v>
      </c>
      <c r="N523" t="str">
        <f>IF(user_behavior_dataset!$D523&lt;60,"Low",
IF(user_behavior_dataset!$D523&lt;=180,"Medium","High"))</f>
        <v>Medium</v>
      </c>
      <c r="O523" t="str">
        <f>IF(user_behavior_dataset!$H523&gt;=1341,"Yes","No")</f>
        <v>No</v>
      </c>
      <c r="P523" t="str">
        <f>IF(user_behavior_dataset!$F523&gt;=2229,"Yes","No")</f>
        <v>No</v>
      </c>
    </row>
    <row r="524" spans="1:16" x14ac:dyDescent="0.3">
      <c r="A524">
        <v>523</v>
      </c>
      <c r="B524" t="s">
        <v>16</v>
      </c>
      <c r="C524" t="s">
        <v>12</v>
      </c>
      <c r="D524">
        <v>438</v>
      </c>
      <c r="E524">
        <v>6.5</v>
      </c>
      <c r="F524">
        <v>1849</v>
      </c>
      <c r="G524">
        <v>64</v>
      </c>
      <c r="H524">
        <v>1125</v>
      </c>
      <c r="I524">
        <v>49</v>
      </c>
      <c r="J524" t="str">
        <f t="shared" si="16"/>
        <v>40+</v>
      </c>
      <c r="K524" t="s">
        <v>15</v>
      </c>
      <c r="L524">
        <v>4</v>
      </c>
      <c r="M524" t="str">
        <f t="shared" si="17"/>
        <v>Yes</v>
      </c>
      <c r="N524" t="str">
        <f>IF(user_behavior_dataset!$D524&lt;60,"Low",
IF(user_behavior_dataset!$D524&lt;=180,"Medium","High"))</f>
        <v>High</v>
      </c>
      <c r="O524" t="str">
        <f>IF(user_behavior_dataset!$H524&gt;=1341,"Yes","No")</f>
        <v>No</v>
      </c>
      <c r="P524" t="str">
        <f>IF(user_behavior_dataset!$F524&gt;=2229,"Yes","No")</f>
        <v>No</v>
      </c>
    </row>
    <row r="525" spans="1:16" x14ac:dyDescent="0.3">
      <c r="A525">
        <v>524</v>
      </c>
      <c r="B525" t="s">
        <v>19</v>
      </c>
      <c r="C525" t="s">
        <v>12</v>
      </c>
      <c r="D525">
        <v>506</v>
      </c>
      <c r="E525">
        <v>11.2</v>
      </c>
      <c r="F525">
        <v>2623</v>
      </c>
      <c r="G525">
        <v>98</v>
      </c>
      <c r="H525">
        <v>2460</v>
      </c>
      <c r="I525">
        <v>48</v>
      </c>
      <c r="J525" t="str">
        <f t="shared" si="16"/>
        <v>40+</v>
      </c>
      <c r="K525" t="s">
        <v>13</v>
      </c>
      <c r="L525">
        <v>5</v>
      </c>
      <c r="M525" t="str">
        <f t="shared" si="17"/>
        <v>Yes</v>
      </c>
      <c r="N525" t="str">
        <f>IF(user_behavior_dataset!$D525&lt;60,"Low",
IF(user_behavior_dataset!$D525&lt;=180,"Medium","High"))</f>
        <v>High</v>
      </c>
      <c r="O525" t="str">
        <f>IF(user_behavior_dataset!$H525&gt;=1341,"Yes","No")</f>
        <v>Yes</v>
      </c>
      <c r="P525" t="str">
        <f>IF(user_behavior_dataset!$F525&gt;=2229,"Yes","No")</f>
        <v>Yes</v>
      </c>
    </row>
    <row r="526" spans="1:16" x14ac:dyDescent="0.3">
      <c r="A526">
        <v>525</v>
      </c>
      <c r="B526" t="s">
        <v>19</v>
      </c>
      <c r="C526" t="s">
        <v>12</v>
      </c>
      <c r="D526">
        <v>272</v>
      </c>
      <c r="E526">
        <v>5.2</v>
      </c>
      <c r="F526">
        <v>1390</v>
      </c>
      <c r="G526">
        <v>45</v>
      </c>
      <c r="H526">
        <v>792</v>
      </c>
      <c r="I526">
        <v>57</v>
      </c>
      <c r="J526" t="str">
        <f t="shared" si="16"/>
        <v>40+</v>
      </c>
      <c r="K526" t="s">
        <v>15</v>
      </c>
      <c r="L526">
        <v>3</v>
      </c>
      <c r="M526" t="str">
        <f t="shared" si="17"/>
        <v>Yes</v>
      </c>
      <c r="N526" t="str">
        <f>IF(user_behavior_dataset!$D526&lt;60,"Low",
IF(user_behavior_dataset!$D526&lt;=180,"Medium","High"))</f>
        <v>High</v>
      </c>
      <c r="O526" t="str">
        <f>IF(user_behavior_dataset!$H526&gt;=1341,"Yes","No")</f>
        <v>No</v>
      </c>
      <c r="P526" t="str">
        <f>IF(user_behavior_dataset!$F526&gt;=2229,"Yes","No")</f>
        <v>No</v>
      </c>
    </row>
    <row r="527" spans="1:16" x14ac:dyDescent="0.3">
      <c r="A527">
        <v>526</v>
      </c>
      <c r="B527" t="s">
        <v>19</v>
      </c>
      <c r="C527" t="s">
        <v>12</v>
      </c>
      <c r="D527">
        <v>224</v>
      </c>
      <c r="E527">
        <v>4.5</v>
      </c>
      <c r="F527">
        <v>1646</v>
      </c>
      <c r="G527">
        <v>57</v>
      </c>
      <c r="H527">
        <v>665</v>
      </c>
      <c r="I527">
        <v>59</v>
      </c>
      <c r="J527" t="str">
        <f t="shared" si="16"/>
        <v>40+</v>
      </c>
      <c r="K527" t="s">
        <v>13</v>
      </c>
      <c r="L527">
        <v>3</v>
      </c>
      <c r="M527" t="str">
        <f t="shared" si="17"/>
        <v>Yes</v>
      </c>
      <c r="N527" t="str">
        <f>IF(user_behavior_dataset!$D527&lt;60,"Low",
IF(user_behavior_dataset!$D527&lt;=180,"Medium","High"))</f>
        <v>High</v>
      </c>
      <c r="O527" t="str">
        <f>IF(user_behavior_dataset!$H527&gt;=1341,"Yes","No")</f>
        <v>No</v>
      </c>
      <c r="P527" t="str">
        <f>IF(user_behavior_dataset!$F527&gt;=2229,"Yes","No")</f>
        <v>No</v>
      </c>
    </row>
    <row r="528" spans="1:16" x14ac:dyDescent="0.3">
      <c r="A528">
        <v>527</v>
      </c>
      <c r="B528" t="s">
        <v>11</v>
      </c>
      <c r="C528" t="s">
        <v>12</v>
      </c>
      <c r="D528">
        <v>99</v>
      </c>
      <c r="E528">
        <v>2.4</v>
      </c>
      <c r="F528">
        <v>689</v>
      </c>
      <c r="G528">
        <v>36</v>
      </c>
      <c r="H528">
        <v>318</v>
      </c>
      <c r="I528">
        <v>29</v>
      </c>
      <c r="J528" t="str">
        <f t="shared" si="16"/>
        <v>25–40</v>
      </c>
      <c r="K528" t="s">
        <v>15</v>
      </c>
      <c r="L528">
        <v>2</v>
      </c>
      <c r="M528" t="str">
        <f t="shared" si="17"/>
        <v>Yes</v>
      </c>
      <c r="N528" t="str">
        <f>IF(user_behavior_dataset!$D528&lt;60,"Low",
IF(user_behavior_dataset!$D528&lt;=180,"Medium","High"))</f>
        <v>Medium</v>
      </c>
      <c r="O528" t="str">
        <f>IF(user_behavior_dataset!$H528&gt;=1341,"Yes","No")</f>
        <v>No</v>
      </c>
      <c r="P528" t="str">
        <f>IF(user_behavior_dataset!$F528&gt;=2229,"Yes","No")</f>
        <v>No</v>
      </c>
    </row>
    <row r="529" spans="1:16" x14ac:dyDescent="0.3">
      <c r="A529">
        <v>528</v>
      </c>
      <c r="B529" t="s">
        <v>17</v>
      </c>
      <c r="C529" t="s">
        <v>18</v>
      </c>
      <c r="D529">
        <v>44</v>
      </c>
      <c r="E529">
        <v>1.2</v>
      </c>
      <c r="F529">
        <v>466</v>
      </c>
      <c r="G529">
        <v>10</v>
      </c>
      <c r="H529">
        <v>131</v>
      </c>
      <c r="I529">
        <v>57</v>
      </c>
      <c r="J529" t="str">
        <f t="shared" si="16"/>
        <v>40+</v>
      </c>
      <c r="K529" t="s">
        <v>15</v>
      </c>
      <c r="L529">
        <v>1</v>
      </c>
      <c r="M529" t="str">
        <f t="shared" si="17"/>
        <v>No</v>
      </c>
      <c r="N529" t="str">
        <f>IF(user_behavior_dataset!$D529&lt;60,"Low",
IF(user_behavior_dataset!$D529&lt;=180,"Medium","High"))</f>
        <v>Low</v>
      </c>
      <c r="O529" t="str">
        <f>IF(user_behavior_dataset!$H529&gt;=1341,"Yes","No")</f>
        <v>No</v>
      </c>
      <c r="P529" t="str">
        <f>IF(user_behavior_dataset!$F529&gt;=2229,"Yes","No")</f>
        <v>No</v>
      </c>
    </row>
    <row r="530" spans="1:16" x14ac:dyDescent="0.3">
      <c r="A530">
        <v>529</v>
      </c>
      <c r="B530" t="s">
        <v>11</v>
      </c>
      <c r="C530" t="s">
        <v>12</v>
      </c>
      <c r="D530">
        <v>175</v>
      </c>
      <c r="E530">
        <v>3</v>
      </c>
      <c r="F530">
        <v>801</v>
      </c>
      <c r="G530">
        <v>32</v>
      </c>
      <c r="H530">
        <v>338</v>
      </c>
      <c r="I530">
        <v>24</v>
      </c>
      <c r="J530" t="str">
        <f t="shared" si="16"/>
        <v>&lt;25</v>
      </c>
      <c r="K530" t="s">
        <v>13</v>
      </c>
      <c r="L530">
        <v>2</v>
      </c>
      <c r="M530" t="str">
        <f t="shared" si="17"/>
        <v>Yes</v>
      </c>
      <c r="N530" t="str">
        <f>IF(user_behavior_dataset!$D530&lt;60,"Low",
IF(user_behavior_dataset!$D530&lt;=180,"Medium","High"))</f>
        <v>Medium</v>
      </c>
      <c r="O530" t="str">
        <f>IF(user_behavior_dataset!$H530&gt;=1341,"Yes","No")</f>
        <v>No</v>
      </c>
      <c r="P530" t="str">
        <f>IF(user_behavior_dataset!$F530&gt;=2229,"Yes","No")</f>
        <v>No</v>
      </c>
    </row>
    <row r="531" spans="1:16" x14ac:dyDescent="0.3">
      <c r="A531">
        <v>530</v>
      </c>
      <c r="B531" t="s">
        <v>11</v>
      </c>
      <c r="C531" t="s">
        <v>12</v>
      </c>
      <c r="D531">
        <v>228</v>
      </c>
      <c r="E531">
        <v>4.8</v>
      </c>
      <c r="F531">
        <v>1639</v>
      </c>
      <c r="G531">
        <v>47</v>
      </c>
      <c r="H531">
        <v>796</v>
      </c>
      <c r="I531">
        <v>42</v>
      </c>
      <c r="J531" t="str">
        <f t="shared" si="16"/>
        <v>40+</v>
      </c>
      <c r="K531" t="s">
        <v>15</v>
      </c>
      <c r="L531">
        <v>3</v>
      </c>
      <c r="M531" t="str">
        <f t="shared" si="17"/>
        <v>Yes</v>
      </c>
      <c r="N531" t="str">
        <f>IF(user_behavior_dataset!$D531&lt;60,"Low",
IF(user_behavior_dataset!$D531&lt;=180,"Medium","High"))</f>
        <v>High</v>
      </c>
      <c r="O531" t="str">
        <f>IF(user_behavior_dataset!$H531&gt;=1341,"Yes","No")</f>
        <v>No</v>
      </c>
      <c r="P531" t="str">
        <f>IF(user_behavior_dataset!$F531&gt;=2229,"Yes","No")</f>
        <v>No</v>
      </c>
    </row>
    <row r="532" spans="1:16" x14ac:dyDescent="0.3">
      <c r="A532">
        <v>531</v>
      </c>
      <c r="B532" t="s">
        <v>16</v>
      </c>
      <c r="C532" t="s">
        <v>12</v>
      </c>
      <c r="D532">
        <v>589</v>
      </c>
      <c r="E532">
        <v>11.8</v>
      </c>
      <c r="F532">
        <v>2629</v>
      </c>
      <c r="G532">
        <v>86</v>
      </c>
      <c r="H532">
        <v>2479</v>
      </c>
      <c r="I532">
        <v>43</v>
      </c>
      <c r="J532" t="str">
        <f t="shared" si="16"/>
        <v>40+</v>
      </c>
      <c r="K532" t="s">
        <v>15</v>
      </c>
      <c r="L532">
        <v>5</v>
      </c>
      <c r="M532" t="str">
        <f t="shared" si="17"/>
        <v>Yes</v>
      </c>
      <c r="N532" t="str">
        <f>IF(user_behavior_dataset!$D532&lt;60,"Low",
IF(user_behavior_dataset!$D532&lt;=180,"Medium","High"))</f>
        <v>High</v>
      </c>
      <c r="O532" t="str">
        <f>IF(user_behavior_dataset!$H532&gt;=1341,"Yes","No")</f>
        <v>Yes</v>
      </c>
      <c r="P532" t="str">
        <f>IF(user_behavior_dataset!$F532&gt;=2229,"Yes","No")</f>
        <v>Yes</v>
      </c>
    </row>
    <row r="533" spans="1:16" x14ac:dyDescent="0.3">
      <c r="A533">
        <v>532</v>
      </c>
      <c r="B533" t="s">
        <v>14</v>
      </c>
      <c r="C533" t="s">
        <v>12</v>
      </c>
      <c r="D533">
        <v>339</v>
      </c>
      <c r="E533">
        <v>7.9</v>
      </c>
      <c r="F533">
        <v>1987</v>
      </c>
      <c r="G533">
        <v>66</v>
      </c>
      <c r="H533">
        <v>1191</v>
      </c>
      <c r="I533">
        <v>47</v>
      </c>
      <c r="J533" t="str">
        <f t="shared" si="16"/>
        <v>40+</v>
      </c>
      <c r="K533" t="s">
        <v>13</v>
      </c>
      <c r="L533">
        <v>4</v>
      </c>
      <c r="M533" t="str">
        <f t="shared" si="17"/>
        <v>Yes</v>
      </c>
      <c r="N533" t="str">
        <f>IF(user_behavior_dataset!$D533&lt;60,"Low",
IF(user_behavior_dataset!$D533&lt;=180,"Medium","High"))</f>
        <v>High</v>
      </c>
      <c r="O533" t="str">
        <f>IF(user_behavior_dataset!$H533&gt;=1341,"Yes","No")</f>
        <v>No</v>
      </c>
      <c r="P533" t="str">
        <f>IF(user_behavior_dataset!$F533&gt;=2229,"Yes","No")</f>
        <v>No</v>
      </c>
    </row>
    <row r="534" spans="1:16" x14ac:dyDescent="0.3">
      <c r="A534">
        <v>533</v>
      </c>
      <c r="B534" t="s">
        <v>17</v>
      </c>
      <c r="C534" t="s">
        <v>18</v>
      </c>
      <c r="D534">
        <v>431</v>
      </c>
      <c r="E534">
        <v>6.4</v>
      </c>
      <c r="F534">
        <v>2206</v>
      </c>
      <c r="G534">
        <v>66</v>
      </c>
      <c r="H534">
        <v>1200</v>
      </c>
      <c r="I534">
        <v>23</v>
      </c>
      <c r="J534" t="str">
        <f t="shared" si="16"/>
        <v>&lt;25</v>
      </c>
      <c r="K534" t="s">
        <v>15</v>
      </c>
      <c r="L534">
        <v>4</v>
      </c>
      <c r="M534" t="str">
        <f t="shared" si="17"/>
        <v>Yes</v>
      </c>
      <c r="N534" t="str">
        <f>IF(user_behavior_dataset!$D534&lt;60,"Low",
IF(user_behavior_dataset!$D534&lt;=180,"Medium","High"))</f>
        <v>High</v>
      </c>
      <c r="O534" t="str">
        <f>IF(user_behavior_dataset!$H534&gt;=1341,"Yes","No")</f>
        <v>No</v>
      </c>
      <c r="P534" t="str">
        <f>IF(user_behavior_dataset!$F534&gt;=2229,"Yes","No")</f>
        <v>No</v>
      </c>
    </row>
    <row r="535" spans="1:16" x14ac:dyDescent="0.3">
      <c r="A535">
        <v>534</v>
      </c>
      <c r="B535" t="s">
        <v>16</v>
      </c>
      <c r="C535" t="s">
        <v>12</v>
      </c>
      <c r="D535">
        <v>190</v>
      </c>
      <c r="E535">
        <v>4.7</v>
      </c>
      <c r="F535">
        <v>1276</v>
      </c>
      <c r="G535">
        <v>57</v>
      </c>
      <c r="H535">
        <v>915</v>
      </c>
      <c r="I535">
        <v>22</v>
      </c>
      <c r="J535" t="str">
        <f t="shared" si="16"/>
        <v>&lt;25</v>
      </c>
      <c r="K535" t="s">
        <v>15</v>
      </c>
      <c r="L535">
        <v>3</v>
      </c>
      <c r="M535" t="str">
        <f t="shared" si="17"/>
        <v>Yes</v>
      </c>
      <c r="N535" t="str">
        <f>IF(user_behavior_dataset!$D535&lt;60,"Low",
IF(user_behavior_dataset!$D535&lt;=180,"Medium","High"))</f>
        <v>High</v>
      </c>
      <c r="O535" t="str">
        <f>IF(user_behavior_dataset!$H535&gt;=1341,"Yes","No")</f>
        <v>No</v>
      </c>
      <c r="P535" t="str">
        <f>IF(user_behavior_dataset!$F535&gt;=2229,"Yes","No")</f>
        <v>No</v>
      </c>
    </row>
    <row r="536" spans="1:16" x14ac:dyDescent="0.3">
      <c r="A536">
        <v>535</v>
      </c>
      <c r="B536" t="s">
        <v>14</v>
      </c>
      <c r="C536" t="s">
        <v>12</v>
      </c>
      <c r="D536">
        <v>389</v>
      </c>
      <c r="E536">
        <v>6.1</v>
      </c>
      <c r="F536">
        <v>2087</v>
      </c>
      <c r="G536">
        <v>67</v>
      </c>
      <c r="H536">
        <v>1383</v>
      </c>
      <c r="I536">
        <v>30</v>
      </c>
      <c r="J536" t="str">
        <f t="shared" si="16"/>
        <v>25–40</v>
      </c>
      <c r="K536" t="s">
        <v>13</v>
      </c>
      <c r="L536">
        <v>4</v>
      </c>
      <c r="M536" t="str">
        <f t="shared" si="17"/>
        <v>Yes</v>
      </c>
      <c r="N536" t="str">
        <f>IF(user_behavior_dataset!$D536&lt;60,"Low",
IF(user_behavior_dataset!$D536&lt;=180,"Medium","High"))</f>
        <v>High</v>
      </c>
      <c r="O536" t="str">
        <f>IF(user_behavior_dataset!$H536&gt;=1341,"Yes","No")</f>
        <v>Yes</v>
      </c>
      <c r="P536" t="str">
        <f>IF(user_behavior_dataset!$F536&gt;=2229,"Yes","No")</f>
        <v>No</v>
      </c>
    </row>
    <row r="537" spans="1:16" x14ac:dyDescent="0.3">
      <c r="A537">
        <v>536</v>
      </c>
      <c r="B537" t="s">
        <v>19</v>
      </c>
      <c r="C537" t="s">
        <v>12</v>
      </c>
      <c r="D537">
        <v>139</v>
      </c>
      <c r="E537">
        <v>3.3</v>
      </c>
      <c r="F537">
        <v>937</v>
      </c>
      <c r="G537">
        <v>24</v>
      </c>
      <c r="H537">
        <v>573</v>
      </c>
      <c r="I537">
        <v>25</v>
      </c>
      <c r="J537" t="str">
        <f t="shared" si="16"/>
        <v>25–40</v>
      </c>
      <c r="K537" t="s">
        <v>15</v>
      </c>
      <c r="L537">
        <v>2</v>
      </c>
      <c r="M537" t="str">
        <f t="shared" si="17"/>
        <v>Yes</v>
      </c>
      <c r="N537" t="str">
        <f>IF(user_behavior_dataset!$D537&lt;60,"Low",
IF(user_behavior_dataset!$D537&lt;=180,"Medium","High"))</f>
        <v>Medium</v>
      </c>
      <c r="O537" t="str">
        <f>IF(user_behavior_dataset!$H537&gt;=1341,"Yes","No")</f>
        <v>No</v>
      </c>
      <c r="P537" t="str">
        <f>IF(user_behavior_dataset!$F537&gt;=2229,"Yes","No")</f>
        <v>No</v>
      </c>
    </row>
    <row r="538" spans="1:16" x14ac:dyDescent="0.3">
      <c r="A538">
        <v>537</v>
      </c>
      <c r="B538" t="s">
        <v>19</v>
      </c>
      <c r="C538" t="s">
        <v>12</v>
      </c>
      <c r="D538">
        <v>289</v>
      </c>
      <c r="E538">
        <v>5.9</v>
      </c>
      <c r="F538">
        <v>1528</v>
      </c>
      <c r="G538">
        <v>48</v>
      </c>
      <c r="H538">
        <v>915</v>
      </c>
      <c r="I538">
        <v>30</v>
      </c>
      <c r="J538" t="str">
        <f t="shared" si="16"/>
        <v>25–40</v>
      </c>
      <c r="K538" t="s">
        <v>13</v>
      </c>
      <c r="L538">
        <v>3</v>
      </c>
      <c r="M538" t="str">
        <f t="shared" si="17"/>
        <v>Yes</v>
      </c>
      <c r="N538" t="str">
        <f>IF(user_behavior_dataset!$D538&lt;60,"Low",
IF(user_behavior_dataset!$D538&lt;=180,"Medium","High"))</f>
        <v>High</v>
      </c>
      <c r="O538" t="str">
        <f>IF(user_behavior_dataset!$H538&gt;=1341,"Yes","No")</f>
        <v>No</v>
      </c>
      <c r="P538" t="str">
        <f>IF(user_behavior_dataset!$F538&gt;=2229,"Yes","No")</f>
        <v>No</v>
      </c>
    </row>
    <row r="539" spans="1:16" x14ac:dyDescent="0.3">
      <c r="A539">
        <v>538</v>
      </c>
      <c r="B539" t="s">
        <v>19</v>
      </c>
      <c r="C539" t="s">
        <v>12</v>
      </c>
      <c r="D539">
        <v>593</v>
      </c>
      <c r="E539">
        <v>11.1</v>
      </c>
      <c r="F539">
        <v>2672</v>
      </c>
      <c r="G539">
        <v>82</v>
      </c>
      <c r="H539">
        <v>2258</v>
      </c>
      <c r="I539">
        <v>34</v>
      </c>
      <c r="J539" t="str">
        <f t="shared" si="16"/>
        <v>25–40</v>
      </c>
      <c r="K539" t="s">
        <v>15</v>
      </c>
      <c r="L539">
        <v>5</v>
      </c>
      <c r="M539" t="str">
        <f t="shared" si="17"/>
        <v>Yes</v>
      </c>
      <c r="N539" t="str">
        <f>IF(user_behavior_dataset!$D539&lt;60,"Low",
IF(user_behavior_dataset!$D539&lt;=180,"Medium","High"))</f>
        <v>High</v>
      </c>
      <c r="O539" t="str">
        <f>IF(user_behavior_dataset!$H539&gt;=1341,"Yes","No")</f>
        <v>Yes</v>
      </c>
      <c r="P539" t="str">
        <f>IF(user_behavior_dataset!$F539&gt;=2229,"Yes","No")</f>
        <v>Yes</v>
      </c>
    </row>
    <row r="540" spans="1:16" x14ac:dyDescent="0.3">
      <c r="A540">
        <v>539</v>
      </c>
      <c r="B540" t="s">
        <v>11</v>
      </c>
      <c r="C540" t="s">
        <v>12</v>
      </c>
      <c r="D540">
        <v>576</v>
      </c>
      <c r="E540">
        <v>9.5</v>
      </c>
      <c r="F540">
        <v>2638</v>
      </c>
      <c r="G540">
        <v>98</v>
      </c>
      <c r="H540">
        <v>2281</v>
      </c>
      <c r="I540">
        <v>38</v>
      </c>
      <c r="J540" t="str">
        <f t="shared" si="16"/>
        <v>25–40</v>
      </c>
      <c r="K540" t="s">
        <v>15</v>
      </c>
      <c r="L540">
        <v>5</v>
      </c>
      <c r="M540" t="str">
        <f t="shared" si="17"/>
        <v>Yes</v>
      </c>
      <c r="N540" t="str">
        <f>IF(user_behavior_dataset!$D540&lt;60,"Low",
IF(user_behavior_dataset!$D540&lt;=180,"Medium","High"))</f>
        <v>High</v>
      </c>
      <c r="O540" t="str">
        <f>IF(user_behavior_dataset!$H540&gt;=1341,"Yes","No")</f>
        <v>Yes</v>
      </c>
      <c r="P540" t="str">
        <f>IF(user_behavior_dataset!$F540&gt;=2229,"Yes","No")</f>
        <v>Yes</v>
      </c>
    </row>
    <row r="541" spans="1:16" x14ac:dyDescent="0.3">
      <c r="A541">
        <v>540</v>
      </c>
      <c r="B541" t="s">
        <v>14</v>
      </c>
      <c r="C541" t="s">
        <v>12</v>
      </c>
      <c r="D541">
        <v>592</v>
      </c>
      <c r="E541">
        <v>9.4</v>
      </c>
      <c r="F541">
        <v>2867</v>
      </c>
      <c r="G541">
        <v>95</v>
      </c>
      <c r="H541">
        <v>1701</v>
      </c>
      <c r="I541">
        <v>27</v>
      </c>
      <c r="J541" t="str">
        <f t="shared" si="16"/>
        <v>25–40</v>
      </c>
      <c r="K541" t="s">
        <v>15</v>
      </c>
      <c r="L541">
        <v>5</v>
      </c>
      <c r="M541" t="str">
        <f t="shared" si="17"/>
        <v>Yes</v>
      </c>
      <c r="N541" t="str">
        <f>IF(user_behavior_dataset!$D541&lt;60,"Low",
IF(user_behavior_dataset!$D541&lt;=180,"Medium","High"))</f>
        <v>High</v>
      </c>
      <c r="O541" t="str">
        <f>IF(user_behavior_dataset!$H541&gt;=1341,"Yes","No")</f>
        <v>Yes</v>
      </c>
      <c r="P541" t="str">
        <f>IF(user_behavior_dataset!$F541&gt;=2229,"Yes","No")</f>
        <v>Yes</v>
      </c>
    </row>
    <row r="542" spans="1:16" x14ac:dyDescent="0.3">
      <c r="A542">
        <v>541</v>
      </c>
      <c r="B542" t="s">
        <v>17</v>
      </c>
      <c r="C542" t="s">
        <v>18</v>
      </c>
      <c r="D542">
        <v>567</v>
      </c>
      <c r="E542">
        <v>10.5</v>
      </c>
      <c r="F542">
        <v>2817</v>
      </c>
      <c r="G542">
        <v>89</v>
      </c>
      <c r="H542">
        <v>2194</v>
      </c>
      <c r="I542">
        <v>52</v>
      </c>
      <c r="J542" t="str">
        <f t="shared" si="16"/>
        <v>40+</v>
      </c>
      <c r="K542" t="s">
        <v>13</v>
      </c>
      <c r="L542">
        <v>5</v>
      </c>
      <c r="M542" t="str">
        <f t="shared" si="17"/>
        <v>Yes</v>
      </c>
      <c r="N542" t="str">
        <f>IF(user_behavior_dataset!$D542&lt;60,"Low",
IF(user_behavior_dataset!$D542&lt;=180,"Medium","High"))</f>
        <v>High</v>
      </c>
      <c r="O542" t="str">
        <f>IF(user_behavior_dataset!$H542&gt;=1341,"Yes","No")</f>
        <v>Yes</v>
      </c>
      <c r="P542" t="str">
        <f>IF(user_behavior_dataset!$F542&gt;=2229,"Yes","No")</f>
        <v>Yes</v>
      </c>
    </row>
    <row r="543" spans="1:16" x14ac:dyDescent="0.3">
      <c r="A543">
        <v>542</v>
      </c>
      <c r="B543" t="s">
        <v>17</v>
      </c>
      <c r="C543" t="s">
        <v>18</v>
      </c>
      <c r="D543">
        <v>170</v>
      </c>
      <c r="E543">
        <v>2.5</v>
      </c>
      <c r="F543">
        <v>740</v>
      </c>
      <c r="G543">
        <v>21</v>
      </c>
      <c r="H543">
        <v>537</v>
      </c>
      <c r="I543">
        <v>25</v>
      </c>
      <c r="J543" t="str">
        <f t="shared" si="16"/>
        <v>25–40</v>
      </c>
      <c r="K543" t="s">
        <v>15</v>
      </c>
      <c r="L543">
        <v>2</v>
      </c>
      <c r="M543" t="str">
        <f t="shared" si="17"/>
        <v>Yes</v>
      </c>
      <c r="N543" t="str">
        <f>IF(user_behavior_dataset!$D543&lt;60,"Low",
IF(user_behavior_dataset!$D543&lt;=180,"Medium","High"))</f>
        <v>Medium</v>
      </c>
      <c r="O543" t="str">
        <f>IF(user_behavior_dataset!$H543&gt;=1341,"Yes","No")</f>
        <v>No</v>
      </c>
      <c r="P543" t="str">
        <f>IF(user_behavior_dataset!$F543&gt;=2229,"Yes","No")</f>
        <v>No</v>
      </c>
    </row>
    <row r="544" spans="1:16" x14ac:dyDescent="0.3">
      <c r="A544">
        <v>543</v>
      </c>
      <c r="B544" t="s">
        <v>11</v>
      </c>
      <c r="C544" t="s">
        <v>12</v>
      </c>
      <c r="D544">
        <v>242</v>
      </c>
      <c r="E544">
        <v>5.4</v>
      </c>
      <c r="F544">
        <v>1307</v>
      </c>
      <c r="G544">
        <v>48</v>
      </c>
      <c r="H544">
        <v>642</v>
      </c>
      <c r="I544">
        <v>28</v>
      </c>
      <c r="J544" t="str">
        <f t="shared" si="16"/>
        <v>25–40</v>
      </c>
      <c r="K544" t="s">
        <v>13</v>
      </c>
      <c r="L544">
        <v>3</v>
      </c>
      <c r="M544" t="str">
        <f t="shared" si="17"/>
        <v>Yes</v>
      </c>
      <c r="N544" t="str">
        <f>IF(user_behavior_dataset!$D544&lt;60,"Low",
IF(user_behavior_dataset!$D544&lt;=180,"Medium","High"))</f>
        <v>High</v>
      </c>
      <c r="O544" t="str">
        <f>IF(user_behavior_dataset!$H544&gt;=1341,"Yes","No")</f>
        <v>No</v>
      </c>
      <c r="P544" t="str">
        <f>IF(user_behavior_dataset!$F544&gt;=2229,"Yes","No")</f>
        <v>No</v>
      </c>
    </row>
    <row r="545" spans="1:16" x14ac:dyDescent="0.3">
      <c r="A545">
        <v>544</v>
      </c>
      <c r="B545" t="s">
        <v>19</v>
      </c>
      <c r="C545" t="s">
        <v>12</v>
      </c>
      <c r="D545">
        <v>275</v>
      </c>
      <c r="E545">
        <v>5.5</v>
      </c>
      <c r="F545">
        <v>1616</v>
      </c>
      <c r="G545">
        <v>48</v>
      </c>
      <c r="H545">
        <v>656</v>
      </c>
      <c r="I545">
        <v>55</v>
      </c>
      <c r="J545" t="str">
        <f t="shared" si="16"/>
        <v>40+</v>
      </c>
      <c r="K545" t="s">
        <v>13</v>
      </c>
      <c r="L545">
        <v>3</v>
      </c>
      <c r="M545" t="str">
        <f t="shared" si="17"/>
        <v>Yes</v>
      </c>
      <c r="N545" t="str">
        <f>IF(user_behavior_dataset!$D545&lt;60,"Low",
IF(user_behavior_dataset!$D545&lt;=180,"Medium","High"))</f>
        <v>High</v>
      </c>
      <c r="O545" t="str">
        <f>IF(user_behavior_dataset!$H545&gt;=1341,"Yes","No")</f>
        <v>No</v>
      </c>
      <c r="P545" t="str">
        <f>IF(user_behavior_dataset!$F545&gt;=2229,"Yes","No")</f>
        <v>No</v>
      </c>
    </row>
    <row r="546" spans="1:16" x14ac:dyDescent="0.3">
      <c r="A546">
        <v>545</v>
      </c>
      <c r="B546" t="s">
        <v>11</v>
      </c>
      <c r="C546" t="s">
        <v>12</v>
      </c>
      <c r="D546">
        <v>544</v>
      </c>
      <c r="E546">
        <v>9.6999999999999993</v>
      </c>
      <c r="F546">
        <v>2633</v>
      </c>
      <c r="G546">
        <v>97</v>
      </c>
      <c r="H546">
        <v>1727</v>
      </c>
      <c r="I546">
        <v>28</v>
      </c>
      <c r="J546" t="str">
        <f t="shared" si="16"/>
        <v>25–40</v>
      </c>
      <c r="K546" t="s">
        <v>15</v>
      </c>
      <c r="L546">
        <v>5</v>
      </c>
      <c r="M546" t="str">
        <f t="shared" si="17"/>
        <v>Yes</v>
      </c>
      <c r="N546" t="str">
        <f>IF(user_behavior_dataset!$D546&lt;60,"Low",
IF(user_behavior_dataset!$D546&lt;=180,"Medium","High"))</f>
        <v>High</v>
      </c>
      <c r="O546" t="str">
        <f>IF(user_behavior_dataset!$H546&gt;=1341,"Yes","No")</f>
        <v>Yes</v>
      </c>
      <c r="P546" t="str">
        <f>IF(user_behavior_dataset!$F546&gt;=2229,"Yes","No")</f>
        <v>Yes</v>
      </c>
    </row>
    <row r="547" spans="1:16" x14ac:dyDescent="0.3">
      <c r="A547">
        <v>546</v>
      </c>
      <c r="B547" t="s">
        <v>14</v>
      </c>
      <c r="C547" t="s">
        <v>12</v>
      </c>
      <c r="D547">
        <v>50</v>
      </c>
      <c r="E547">
        <v>2</v>
      </c>
      <c r="F547">
        <v>362</v>
      </c>
      <c r="G547">
        <v>17</v>
      </c>
      <c r="H547">
        <v>182</v>
      </c>
      <c r="I547">
        <v>34</v>
      </c>
      <c r="J547" t="str">
        <f t="shared" si="16"/>
        <v>25–40</v>
      </c>
      <c r="K547" t="s">
        <v>15</v>
      </c>
      <c r="L547">
        <v>1</v>
      </c>
      <c r="M547" t="str">
        <f t="shared" si="17"/>
        <v>No</v>
      </c>
      <c r="N547" t="str">
        <f>IF(user_behavior_dataset!$D547&lt;60,"Low",
IF(user_behavior_dataset!$D547&lt;=180,"Medium","High"))</f>
        <v>Low</v>
      </c>
      <c r="O547" t="str">
        <f>IF(user_behavior_dataset!$H547&gt;=1341,"Yes","No")</f>
        <v>No</v>
      </c>
      <c r="P547" t="str">
        <f>IF(user_behavior_dataset!$F547&gt;=2229,"Yes","No")</f>
        <v>No</v>
      </c>
    </row>
    <row r="548" spans="1:16" x14ac:dyDescent="0.3">
      <c r="A548">
        <v>547</v>
      </c>
      <c r="B548" t="s">
        <v>14</v>
      </c>
      <c r="C548" t="s">
        <v>12</v>
      </c>
      <c r="D548">
        <v>236</v>
      </c>
      <c r="E548">
        <v>4.5999999999999996</v>
      </c>
      <c r="F548">
        <v>1750</v>
      </c>
      <c r="G548">
        <v>45</v>
      </c>
      <c r="H548">
        <v>971</v>
      </c>
      <c r="I548">
        <v>21</v>
      </c>
      <c r="J548" t="str">
        <f t="shared" si="16"/>
        <v>&lt;25</v>
      </c>
      <c r="K548" t="s">
        <v>15</v>
      </c>
      <c r="L548">
        <v>3</v>
      </c>
      <c r="M548" t="str">
        <f t="shared" si="17"/>
        <v>Yes</v>
      </c>
      <c r="N548" t="str">
        <f>IF(user_behavior_dataset!$D548&lt;60,"Low",
IF(user_behavior_dataset!$D548&lt;=180,"Medium","High"))</f>
        <v>High</v>
      </c>
      <c r="O548" t="str">
        <f>IF(user_behavior_dataset!$H548&gt;=1341,"Yes","No")</f>
        <v>No</v>
      </c>
      <c r="P548" t="str">
        <f>IF(user_behavior_dataset!$F548&gt;=2229,"Yes","No")</f>
        <v>No</v>
      </c>
    </row>
    <row r="549" spans="1:16" x14ac:dyDescent="0.3">
      <c r="A549">
        <v>548</v>
      </c>
      <c r="B549" t="s">
        <v>17</v>
      </c>
      <c r="C549" t="s">
        <v>18</v>
      </c>
      <c r="D549">
        <v>139</v>
      </c>
      <c r="E549">
        <v>2.6</v>
      </c>
      <c r="F549">
        <v>658</v>
      </c>
      <c r="G549">
        <v>33</v>
      </c>
      <c r="H549">
        <v>358</v>
      </c>
      <c r="I549">
        <v>58</v>
      </c>
      <c r="J549" t="str">
        <f t="shared" si="16"/>
        <v>40+</v>
      </c>
      <c r="K549" t="s">
        <v>15</v>
      </c>
      <c r="L549">
        <v>2</v>
      </c>
      <c r="M549" t="str">
        <f t="shared" si="17"/>
        <v>Yes</v>
      </c>
      <c r="N549" t="str">
        <f>IF(user_behavior_dataset!$D549&lt;60,"Low",
IF(user_behavior_dataset!$D549&lt;=180,"Medium","High"))</f>
        <v>Medium</v>
      </c>
      <c r="O549" t="str">
        <f>IF(user_behavior_dataset!$H549&gt;=1341,"Yes","No")</f>
        <v>No</v>
      </c>
      <c r="P549" t="str">
        <f>IF(user_behavior_dataset!$F549&gt;=2229,"Yes","No")</f>
        <v>No</v>
      </c>
    </row>
    <row r="550" spans="1:16" x14ac:dyDescent="0.3">
      <c r="A550">
        <v>549</v>
      </c>
      <c r="B550" t="s">
        <v>11</v>
      </c>
      <c r="C550" t="s">
        <v>12</v>
      </c>
      <c r="D550">
        <v>383</v>
      </c>
      <c r="E550">
        <v>6.6</v>
      </c>
      <c r="F550">
        <v>2155</v>
      </c>
      <c r="G550">
        <v>74</v>
      </c>
      <c r="H550">
        <v>1360</v>
      </c>
      <c r="I550">
        <v>45</v>
      </c>
      <c r="J550" t="str">
        <f t="shared" si="16"/>
        <v>40+</v>
      </c>
      <c r="K550" t="s">
        <v>13</v>
      </c>
      <c r="L550">
        <v>4</v>
      </c>
      <c r="M550" t="str">
        <f t="shared" si="17"/>
        <v>Yes</v>
      </c>
      <c r="N550" t="str">
        <f>IF(user_behavior_dataset!$D550&lt;60,"Low",
IF(user_behavior_dataset!$D550&lt;=180,"Medium","High"))</f>
        <v>High</v>
      </c>
      <c r="O550" t="str">
        <f>IF(user_behavior_dataset!$H550&gt;=1341,"Yes","No")</f>
        <v>Yes</v>
      </c>
      <c r="P550" t="str">
        <f>IF(user_behavior_dataset!$F550&gt;=2229,"Yes","No")</f>
        <v>No</v>
      </c>
    </row>
    <row r="551" spans="1:16" x14ac:dyDescent="0.3">
      <c r="A551">
        <v>550</v>
      </c>
      <c r="B551" t="s">
        <v>19</v>
      </c>
      <c r="C551" t="s">
        <v>12</v>
      </c>
      <c r="D551">
        <v>172</v>
      </c>
      <c r="E551">
        <v>4</v>
      </c>
      <c r="F551">
        <v>1047</v>
      </c>
      <c r="G551">
        <v>32</v>
      </c>
      <c r="H551">
        <v>508</v>
      </c>
      <c r="I551">
        <v>21</v>
      </c>
      <c r="J551" t="str">
        <f t="shared" si="16"/>
        <v>&lt;25</v>
      </c>
      <c r="K551" t="s">
        <v>15</v>
      </c>
      <c r="L551">
        <v>2</v>
      </c>
      <c r="M551" t="str">
        <f t="shared" si="17"/>
        <v>Yes</v>
      </c>
      <c r="N551" t="str">
        <f>IF(user_behavior_dataset!$D551&lt;60,"Low",
IF(user_behavior_dataset!$D551&lt;=180,"Medium","High"))</f>
        <v>Medium</v>
      </c>
      <c r="O551" t="str">
        <f>IF(user_behavior_dataset!$H551&gt;=1341,"Yes","No")</f>
        <v>No</v>
      </c>
      <c r="P551" t="str">
        <f>IF(user_behavior_dataset!$F551&gt;=2229,"Yes","No")</f>
        <v>No</v>
      </c>
    </row>
    <row r="552" spans="1:16" x14ac:dyDescent="0.3">
      <c r="A552">
        <v>551</v>
      </c>
      <c r="B552" t="s">
        <v>16</v>
      </c>
      <c r="C552" t="s">
        <v>12</v>
      </c>
      <c r="D552">
        <v>455</v>
      </c>
      <c r="E552">
        <v>6.2</v>
      </c>
      <c r="F552">
        <v>1984</v>
      </c>
      <c r="G552">
        <v>72</v>
      </c>
      <c r="H552">
        <v>1287</v>
      </c>
      <c r="I552">
        <v>42</v>
      </c>
      <c r="J552" t="str">
        <f t="shared" si="16"/>
        <v>40+</v>
      </c>
      <c r="K552" t="s">
        <v>13</v>
      </c>
      <c r="L552">
        <v>4</v>
      </c>
      <c r="M552" t="str">
        <f t="shared" si="17"/>
        <v>Yes</v>
      </c>
      <c r="N552" t="str">
        <f>IF(user_behavior_dataset!$D552&lt;60,"Low",
IF(user_behavior_dataset!$D552&lt;=180,"Medium","High"))</f>
        <v>High</v>
      </c>
      <c r="O552" t="str">
        <f>IF(user_behavior_dataset!$H552&gt;=1341,"Yes","No")</f>
        <v>No</v>
      </c>
      <c r="P552" t="str">
        <f>IF(user_behavior_dataset!$F552&gt;=2229,"Yes","No")</f>
        <v>No</v>
      </c>
    </row>
    <row r="553" spans="1:16" x14ac:dyDescent="0.3">
      <c r="A553">
        <v>552</v>
      </c>
      <c r="B553" t="s">
        <v>19</v>
      </c>
      <c r="C553" t="s">
        <v>12</v>
      </c>
      <c r="D553">
        <v>157</v>
      </c>
      <c r="E553">
        <v>2.5</v>
      </c>
      <c r="F553">
        <v>1110</v>
      </c>
      <c r="G553">
        <v>30</v>
      </c>
      <c r="H553">
        <v>373</v>
      </c>
      <c r="I553">
        <v>37</v>
      </c>
      <c r="J553" t="str">
        <f t="shared" si="16"/>
        <v>25–40</v>
      </c>
      <c r="K553" t="s">
        <v>15</v>
      </c>
      <c r="L553">
        <v>2</v>
      </c>
      <c r="M553" t="str">
        <f t="shared" si="17"/>
        <v>Yes</v>
      </c>
      <c r="N553" t="str">
        <f>IF(user_behavior_dataset!$D553&lt;60,"Low",
IF(user_behavior_dataset!$D553&lt;=180,"Medium","High"))</f>
        <v>Medium</v>
      </c>
      <c r="O553" t="str">
        <f>IF(user_behavior_dataset!$H553&gt;=1341,"Yes","No")</f>
        <v>No</v>
      </c>
      <c r="P553" t="str">
        <f>IF(user_behavior_dataset!$F553&gt;=2229,"Yes","No")</f>
        <v>No</v>
      </c>
    </row>
    <row r="554" spans="1:16" x14ac:dyDescent="0.3">
      <c r="A554">
        <v>553</v>
      </c>
      <c r="B554" t="s">
        <v>17</v>
      </c>
      <c r="C554" t="s">
        <v>18</v>
      </c>
      <c r="D554">
        <v>173</v>
      </c>
      <c r="E554">
        <v>3.8</v>
      </c>
      <c r="F554">
        <v>605</v>
      </c>
      <c r="G554">
        <v>23</v>
      </c>
      <c r="H554">
        <v>583</v>
      </c>
      <c r="I554">
        <v>32</v>
      </c>
      <c r="J554" t="str">
        <f t="shared" si="16"/>
        <v>25–40</v>
      </c>
      <c r="K554" t="s">
        <v>13</v>
      </c>
      <c r="L554">
        <v>2</v>
      </c>
      <c r="M554" t="str">
        <f t="shared" si="17"/>
        <v>Yes</v>
      </c>
      <c r="N554" t="str">
        <f>IF(user_behavior_dataset!$D554&lt;60,"Low",
IF(user_behavior_dataset!$D554&lt;=180,"Medium","High"))</f>
        <v>Medium</v>
      </c>
      <c r="O554" t="str">
        <f>IF(user_behavior_dataset!$H554&gt;=1341,"Yes","No")</f>
        <v>No</v>
      </c>
      <c r="P554" t="str">
        <f>IF(user_behavior_dataset!$F554&gt;=2229,"Yes","No")</f>
        <v>No</v>
      </c>
    </row>
    <row r="555" spans="1:16" x14ac:dyDescent="0.3">
      <c r="A555">
        <v>554</v>
      </c>
      <c r="B555" t="s">
        <v>19</v>
      </c>
      <c r="C555" t="s">
        <v>12</v>
      </c>
      <c r="D555">
        <v>405</v>
      </c>
      <c r="E555">
        <v>7.3</v>
      </c>
      <c r="F555">
        <v>2082</v>
      </c>
      <c r="G555">
        <v>75</v>
      </c>
      <c r="H555">
        <v>1162</v>
      </c>
      <c r="I555">
        <v>37</v>
      </c>
      <c r="J555" t="str">
        <f t="shared" si="16"/>
        <v>25–40</v>
      </c>
      <c r="K555" t="s">
        <v>15</v>
      </c>
      <c r="L555">
        <v>4</v>
      </c>
      <c r="M555" t="str">
        <f t="shared" si="17"/>
        <v>Yes</v>
      </c>
      <c r="N555" t="str">
        <f>IF(user_behavior_dataset!$D555&lt;60,"Low",
IF(user_behavior_dataset!$D555&lt;=180,"Medium","High"))</f>
        <v>High</v>
      </c>
      <c r="O555" t="str">
        <f>IF(user_behavior_dataset!$H555&gt;=1341,"Yes","No")</f>
        <v>No</v>
      </c>
      <c r="P555" t="str">
        <f>IF(user_behavior_dataset!$F555&gt;=2229,"Yes","No")</f>
        <v>No</v>
      </c>
    </row>
    <row r="556" spans="1:16" x14ac:dyDescent="0.3">
      <c r="A556">
        <v>555</v>
      </c>
      <c r="B556" t="s">
        <v>17</v>
      </c>
      <c r="C556" t="s">
        <v>18</v>
      </c>
      <c r="D556">
        <v>387</v>
      </c>
      <c r="E556">
        <v>6.6</v>
      </c>
      <c r="F556">
        <v>2168</v>
      </c>
      <c r="G556">
        <v>61</v>
      </c>
      <c r="H556">
        <v>1246</v>
      </c>
      <c r="I556">
        <v>19</v>
      </c>
      <c r="J556" t="str">
        <f t="shared" si="16"/>
        <v>&lt;25</v>
      </c>
      <c r="K556" t="s">
        <v>15</v>
      </c>
      <c r="L556">
        <v>4</v>
      </c>
      <c r="M556" t="str">
        <f t="shared" si="17"/>
        <v>Yes</v>
      </c>
      <c r="N556" t="str">
        <f>IF(user_behavior_dataset!$D556&lt;60,"Low",
IF(user_behavior_dataset!$D556&lt;=180,"Medium","High"))</f>
        <v>High</v>
      </c>
      <c r="O556" t="str">
        <f>IF(user_behavior_dataset!$H556&gt;=1341,"Yes","No")</f>
        <v>No</v>
      </c>
      <c r="P556" t="str">
        <f>IF(user_behavior_dataset!$F556&gt;=2229,"Yes","No")</f>
        <v>No</v>
      </c>
    </row>
    <row r="557" spans="1:16" x14ac:dyDescent="0.3">
      <c r="A557">
        <v>556</v>
      </c>
      <c r="B557" t="s">
        <v>16</v>
      </c>
      <c r="C557" t="s">
        <v>12</v>
      </c>
      <c r="D557">
        <v>201</v>
      </c>
      <c r="E557">
        <v>4.9000000000000004</v>
      </c>
      <c r="F557">
        <v>1633</v>
      </c>
      <c r="G557">
        <v>41</v>
      </c>
      <c r="H557">
        <v>972</v>
      </c>
      <c r="I557">
        <v>32</v>
      </c>
      <c r="J557" t="str">
        <f t="shared" si="16"/>
        <v>25–40</v>
      </c>
      <c r="K557" t="s">
        <v>15</v>
      </c>
      <c r="L557">
        <v>3</v>
      </c>
      <c r="M557" t="str">
        <f t="shared" si="17"/>
        <v>Yes</v>
      </c>
      <c r="N557" t="str">
        <f>IF(user_behavior_dataset!$D557&lt;60,"Low",
IF(user_behavior_dataset!$D557&lt;=180,"Medium","High"))</f>
        <v>High</v>
      </c>
      <c r="O557" t="str">
        <f>IF(user_behavior_dataset!$H557&gt;=1341,"Yes","No")</f>
        <v>No</v>
      </c>
      <c r="P557" t="str">
        <f>IF(user_behavior_dataset!$F557&gt;=2229,"Yes","No")</f>
        <v>No</v>
      </c>
    </row>
    <row r="558" spans="1:16" x14ac:dyDescent="0.3">
      <c r="A558">
        <v>557</v>
      </c>
      <c r="B558" t="s">
        <v>17</v>
      </c>
      <c r="C558" t="s">
        <v>18</v>
      </c>
      <c r="D558">
        <v>142</v>
      </c>
      <c r="E558">
        <v>3.5</v>
      </c>
      <c r="F558">
        <v>625</v>
      </c>
      <c r="G558">
        <v>25</v>
      </c>
      <c r="H558">
        <v>370</v>
      </c>
      <c r="I558">
        <v>40</v>
      </c>
      <c r="J558" t="str">
        <f t="shared" si="16"/>
        <v>25–40</v>
      </c>
      <c r="K558" t="s">
        <v>15</v>
      </c>
      <c r="L558">
        <v>2</v>
      </c>
      <c r="M558" t="str">
        <f t="shared" si="17"/>
        <v>Yes</v>
      </c>
      <c r="N558" t="str">
        <f>IF(user_behavior_dataset!$D558&lt;60,"Low",
IF(user_behavior_dataset!$D558&lt;=180,"Medium","High"))</f>
        <v>Medium</v>
      </c>
      <c r="O558" t="str">
        <f>IF(user_behavior_dataset!$H558&gt;=1341,"Yes","No")</f>
        <v>No</v>
      </c>
      <c r="P558" t="str">
        <f>IF(user_behavior_dataset!$F558&gt;=2229,"Yes","No")</f>
        <v>No</v>
      </c>
    </row>
    <row r="559" spans="1:16" x14ac:dyDescent="0.3">
      <c r="A559">
        <v>558</v>
      </c>
      <c r="B559" t="s">
        <v>19</v>
      </c>
      <c r="C559" t="s">
        <v>12</v>
      </c>
      <c r="D559">
        <v>198</v>
      </c>
      <c r="E559">
        <v>4.2</v>
      </c>
      <c r="F559">
        <v>1392</v>
      </c>
      <c r="G559">
        <v>43</v>
      </c>
      <c r="H559">
        <v>640</v>
      </c>
      <c r="I559">
        <v>27</v>
      </c>
      <c r="J559" t="str">
        <f t="shared" si="16"/>
        <v>25–40</v>
      </c>
      <c r="K559" t="s">
        <v>13</v>
      </c>
      <c r="L559">
        <v>3</v>
      </c>
      <c r="M559" t="str">
        <f t="shared" si="17"/>
        <v>Yes</v>
      </c>
      <c r="N559" t="str">
        <f>IF(user_behavior_dataset!$D559&lt;60,"Low",
IF(user_behavior_dataset!$D559&lt;=180,"Medium","High"))</f>
        <v>High</v>
      </c>
      <c r="O559" t="str">
        <f>IF(user_behavior_dataset!$H559&gt;=1341,"Yes","No")</f>
        <v>No</v>
      </c>
      <c r="P559" t="str">
        <f>IF(user_behavior_dataset!$F559&gt;=2229,"Yes","No")</f>
        <v>No</v>
      </c>
    </row>
    <row r="560" spans="1:16" x14ac:dyDescent="0.3">
      <c r="A560">
        <v>559</v>
      </c>
      <c r="B560" t="s">
        <v>11</v>
      </c>
      <c r="C560" t="s">
        <v>12</v>
      </c>
      <c r="D560">
        <v>361</v>
      </c>
      <c r="E560">
        <v>7.6</v>
      </c>
      <c r="F560">
        <v>2037</v>
      </c>
      <c r="G560">
        <v>65</v>
      </c>
      <c r="H560">
        <v>1056</v>
      </c>
      <c r="I560">
        <v>55</v>
      </c>
      <c r="J560" t="str">
        <f t="shared" si="16"/>
        <v>40+</v>
      </c>
      <c r="K560" t="s">
        <v>13</v>
      </c>
      <c r="L560">
        <v>4</v>
      </c>
      <c r="M560" t="str">
        <f t="shared" si="17"/>
        <v>Yes</v>
      </c>
      <c r="N560" t="str">
        <f>IF(user_behavior_dataset!$D560&lt;60,"Low",
IF(user_behavior_dataset!$D560&lt;=180,"Medium","High"))</f>
        <v>High</v>
      </c>
      <c r="O560" t="str">
        <f>IF(user_behavior_dataset!$H560&gt;=1341,"Yes","No")</f>
        <v>No</v>
      </c>
      <c r="P560" t="str">
        <f>IF(user_behavior_dataset!$F560&gt;=2229,"Yes","No")</f>
        <v>No</v>
      </c>
    </row>
    <row r="561" spans="1:16" x14ac:dyDescent="0.3">
      <c r="A561">
        <v>560</v>
      </c>
      <c r="B561" t="s">
        <v>14</v>
      </c>
      <c r="C561" t="s">
        <v>12</v>
      </c>
      <c r="D561">
        <v>553</v>
      </c>
      <c r="E561">
        <v>11.6</v>
      </c>
      <c r="F561">
        <v>2914</v>
      </c>
      <c r="G561">
        <v>81</v>
      </c>
      <c r="H561">
        <v>1860</v>
      </c>
      <c r="I561">
        <v>47</v>
      </c>
      <c r="J561" t="str">
        <f t="shared" si="16"/>
        <v>40+</v>
      </c>
      <c r="K561" t="s">
        <v>13</v>
      </c>
      <c r="L561">
        <v>5</v>
      </c>
      <c r="M561" t="str">
        <f t="shared" si="17"/>
        <v>Yes</v>
      </c>
      <c r="N561" t="str">
        <f>IF(user_behavior_dataset!$D561&lt;60,"Low",
IF(user_behavior_dataset!$D561&lt;=180,"Medium","High"))</f>
        <v>High</v>
      </c>
      <c r="O561" t="str">
        <f>IF(user_behavior_dataset!$H561&gt;=1341,"Yes","No")</f>
        <v>Yes</v>
      </c>
      <c r="P561" t="str">
        <f>IF(user_behavior_dataset!$F561&gt;=2229,"Yes","No")</f>
        <v>Yes</v>
      </c>
    </row>
    <row r="562" spans="1:16" x14ac:dyDescent="0.3">
      <c r="A562">
        <v>561</v>
      </c>
      <c r="B562" t="s">
        <v>19</v>
      </c>
      <c r="C562" t="s">
        <v>12</v>
      </c>
      <c r="D562">
        <v>408</v>
      </c>
      <c r="E562">
        <v>6.2</v>
      </c>
      <c r="F562">
        <v>2245</v>
      </c>
      <c r="G562">
        <v>69</v>
      </c>
      <c r="H562">
        <v>1103</v>
      </c>
      <c r="I562">
        <v>38</v>
      </c>
      <c r="J562" t="str">
        <f t="shared" si="16"/>
        <v>25–40</v>
      </c>
      <c r="K562" t="s">
        <v>15</v>
      </c>
      <c r="L562">
        <v>4</v>
      </c>
      <c r="M562" t="str">
        <f t="shared" si="17"/>
        <v>Yes</v>
      </c>
      <c r="N562" t="str">
        <f>IF(user_behavior_dataset!$D562&lt;60,"Low",
IF(user_behavior_dataset!$D562&lt;=180,"Medium","High"))</f>
        <v>High</v>
      </c>
      <c r="O562" t="str">
        <f>IF(user_behavior_dataset!$H562&gt;=1341,"Yes","No")</f>
        <v>No</v>
      </c>
      <c r="P562" t="str">
        <f>IF(user_behavior_dataset!$F562&gt;=2229,"Yes","No")</f>
        <v>Yes</v>
      </c>
    </row>
    <row r="563" spans="1:16" x14ac:dyDescent="0.3">
      <c r="A563">
        <v>562</v>
      </c>
      <c r="B563" t="s">
        <v>16</v>
      </c>
      <c r="C563" t="s">
        <v>12</v>
      </c>
      <c r="D563">
        <v>121</v>
      </c>
      <c r="E563">
        <v>2.1</v>
      </c>
      <c r="F563">
        <v>1188</v>
      </c>
      <c r="G563">
        <v>21</v>
      </c>
      <c r="H563">
        <v>578</v>
      </c>
      <c r="I563">
        <v>18</v>
      </c>
      <c r="J563" t="str">
        <f t="shared" si="16"/>
        <v>&lt;25</v>
      </c>
      <c r="K563" t="s">
        <v>13</v>
      </c>
      <c r="L563">
        <v>2</v>
      </c>
      <c r="M563" t="str">
        <f t="shared" si="17"/>
        <v>Yes</v>
      </c>
      <c r="N563" t="str">
        <f>IF(user_behavior_dataset!$D563&lt;60,"Low",
IF(user_behavior_dataset!$D563&lt;=180,"Medium","High"))</f>
        <v>Medium</v>
      </c>
      <c r="O563" t="str">
        <f>IF(user_behavior_dataset!$H563&gt;=1341,"Yes","No")</f>
        <v>No</v>
      </c>
      <c r="P563" t="str">
        <f>IF(user_behavior_dataset!$F563&gt;=2229,"Yes","No")</f>
        <v>No</v>
      </c>
    </row>
    <row r="564" spans="1:16" x14ac:dyDescent="0.3">
      <c r="A564">
        <v>563</v>
      </c>
      <c r="B564" t="s">
        <v>11</v>
      </c>
      <c r="C564" t="s">
        <v>12</v>
      </c>
      <c r="D564">
        <v>71</v>
      </c>
      <c r="E564">
        <v>1.4</v>
      </c>
      <c r="F564">
        <v>508</v>
      </c>
      <c r="G564">
        <v>15</v>
      </c>
      <c r="H564">
        <v>265</v>
      </c>
      <c r="I564">
        <v>33</v>
      </c>
      <c r="J564" t="str">
        <f t="shared" si="16"/>
        <v>25–40</v>
      </c>
      <c r="K564" t="s">
        <v>15</v>
      </c>
      <c r="L564">
        <v>1</v>
      </c>
      <c r="M564" t="str">
        <f t="shared" si="17"/>
        <v>Yes</v>
      </c>
      <c r="N564" t="str">
        <f>IF(user_behavior_dataset!$D564&lt;60,"Low",
IF(user_behavior_dataset!$D564&lt;=180,"Medium","High"))</f>
        <v>Medium</v>
      </c>
      <c r="O564" t="str">
        <f>IF(user_behavior_dataset!$H564&gt;=1341,"Yes","No")</f>
        <v>No</v>
      </c>
      <c r="P564" t="str">
        <f>IF(user_behavior_dataset!$F564&gt;=2229,"Yes","No")</f>
        <v>No</v>
      </c>
    </row>
    <row r="565" spans="1:16" x14ac:dyDescent="0.3">
      <c r="A565">
        <v>564</v>
      </c>
      <c r="B565" t="s">
        <v>17</v>
      </c>
      <c r="C565" t="s">
        <v>18</v>
      </c>
      <c r="D565">
        <v>46</v>
      </c>
      <c r="E565">
        <v>1.6</v>
      </c>
      <c r="F565">
        <v>440</v>
      </c>
      <c r="G565">
        <v>10</v>
      </c>
      <c r="H565">
        <v>265</v>
      </c>
      <c r="I565">
        <v>31</v>
      </c>
      <c r="J565" t="str">
        <f t="shared" si="16"/>
        <v>25–40</v>
      </c>
      <c r="K565" t="s">
        <v>13</v>
      </c>
      <c r="L565">
        <v>1</v>
      </c>
      <c r="M565" t="str">
        <f t="shared" si="17"/>
        <v>No</v>
      </c>
      <c r="N565" t="str">
        <f>IF(user_behavior_dataset!$D565&lt;60,"Low",
IF(user_behavior_dataset!$D565&lt;=180,"Medium","High"))</f>
        <v>Low</v>
      </c>
      <c r="O565" t="str">
        <f>IF(user_behavior_dataset!$H565&gt;=1341,"Yes","No")</f>
        <v>No</v>
      </c>
      <c r="P565" t="str">
        <f>IF(user_behavior_dataset!$F565&gt;=2229,"Yes","No")</f>
        <v>No</v>
      </c>
    </row>
    <row r="566" spans="1:16" x14ac:dyDescent="0.3">
      <c r="A566">
        <v>565</v>
      </c>
      <c r="B566" t="s">
        <v>16</v>
      </c>
      <c r="C566" t="s">
        <v>12</v>
      </c>
      <c r="D566">
        <v>290</v>
      </c>
      <c r="E566">
        <v>4.4000000000000004</v>
      </c>
      <c r="F566">
        <v>1272</v>
      </c>
      <c r="G566">
        <v>55</v>
      </c>
      <c r="H566">
        <v>910</v>
      </c>
      <c r="I566">
        <v>44</v>
      </c>
      <c r="J566" t="str">
        <f t="shared" si="16"/>
        <v>40+</v>
      </c>
      <c r="K566" t="s">
        <v>13</v>
      </c>
      <c r="L566">
        <v>3</v>
      </c>
      <c r="M566" t="str">
        <f t="shared" si="17"/>
        <v>Yes</v>
      </c>
      <c r="N566" t="str">
        <f>IF(user_behavior_dataset!$D566&lt;60,"Low",
IF(user_behavior_dataset!$D566&lt;=180,"Medium","High"))</f>
        <v>High</v>
      </c>
      <c r="O566" t="str">
        <f>IF(user_behavior_dataset!$H566&gt;=1341,"Yes","No")</f>
        <v>No</v>
      </c>
      <c r="P566" t="str">
        <f>IF(user_behavior_dataset!$F566&gt;=2229,"Yes","No")</f>
        <v>No</v>
      </c>
    </row>
    <row r="567" spans="1:16" x14ac:dyDescent="0.3">
      <c r="A567">
        <v>566</v>
      </c>
      <c r="B567" t="s">
        <v>19</v>
      </c>
      <c r="C567" t="s">
        <v>12</v>
      </c>
      <c r="D567">
        <v>60</v>
      </c>
      <c r="E567">
        <v>1.3</v>
      </c>
      <c r="F567">
        <v>462</v>
      </c>
      <c r="G567">
        <v>15</v>
      </c>
      <c r="H567">
        <v>296</v>
      </c>
      <c r="I567">
        <v>40</v>
      </c>
      <c r="J567" t="str">
        <f t="shared" si="16"/>
        <v>25–40</v>
      </c>
      <c r="K567" t="s">
        <v>13</v>
      </c>
      <c r="L567">
        <v>1</v>
      </c>
      <c r="M567" t="str">
        <f t="shared" si="17"/>
        <v>Yes</v>
      </c>
      <c r="N567" t="str">
        <f>IF(user_behavior_dataset!$D567&lt;60,"Low",
IF(user_behavior_dataset!$D567&lt;=180,"Medium","High"))</f>
        <v>Medium</v>
      </c>
      <c r="O567" t="str">
        <f>IF(user_behavior_dataset!$H567&gt;=1341,"Yes","No")</f>
        <v>No</v>
      </c>
      <c r="P567" t="str">
        <f>IF(user_behavior_dataset!$F567&gt;=2229,"Yes","No")</f>
        <v>No</v>
      </c>
    </row>
    <row r="568" spans="1:16" x14ac:dyDescent="0.3">
      <c r="A568">
        <v>567</v>
      </c>
      <c r="B568" t="s">
        <v>11</v>
      </c>
      <c r="C568" t="s">
        <v>12</v>
      </c>
      <c r="D568">
        <v>116</v>
      </c>
      <c r="E568">
        <v>3.9</v>
      </c>
      <c r="F568">
        <v>1132</v>
      </c>
      <c r="G568">
        <v>26</v>
      </c>
      <c r="H568">
        <v>498</v>
      </c>
      <c r="I568">
        <v>35</v>
      </c>
      <c r="J568" t="str">
        <f t="shared" si="16"/>
        <v>25–40</v>
      </c>
      <c r="K568" t="s">
        <v>15</v>
      </c>
      <c r="L568">
        <v>2</v>
      </c>
      <c r="M568" t="str">
        <f t="shared" si="17"/>
        <v>Yes</v>
      </c>
      <c r="N568" t="str">
        <f>IF(user_behavior_dataset!$D568&lt;60,"Low",
IF(user_behavior_dataset!$D568&lt;=180,"Medium","High"))</f>
        <v>Medium</v>
      </c>
      <c r="O568" t="str">
        <f>IF(user_behavior_dataset!$H568&gt;=1341,"Yes","No")</f>
        <v>No</v>
      </c>
      <c r="P568" t="str">
        <f>IF(user_behavior_dataset!$F568&gt;=2229,"Yes","No")</f>
        <v>No</v>
      </c>
    </row>
    <row r="569" spans="1:16" x14ac:dyDescent="0.3">
      <c r="A569">
        <v>568</v>
      </c>
      <c r="B569" t="s">
        <v>14</v>
      </c>
      <c r="C569" t="s">
        <v>12</v>
      </c>
      <c r="D569">
        <v>86</v>
      </c>
      <c r="E569">
        <v>1.7</v>
      </c>
      <c r="F569">
        <v>312</v>
      </c>
      <c r="G569">
        <v>16</v>
      </c>
      <c r="H569">
        <v>227</v>
      </c>
      <c r="I569">
        <v>32</v>
      </c>
      <c r="J569" t="str">
        <f t="shared" si="16"/>
        <v>25–40</v>
      </c>
      <c r="K569" t="s">
        <v>13</v>
      </c>
      <c r="L569">
        <v>1</v>
      </c>
      <c r="M569" t="str">
        <f t="shared" si="17"/>
        <v>Yes</v>
      </c>
      <c r="N569" t="str">
        <f>IF(user_behavior_dataset!$D569&lt;60,"Low",
IF(user_behavior_dataset!$D569&lt;=180,"Medium","High"))</f>
        <v>Medium</v>
      </c>
      <c r="O569" t="str">
        <f>IF(user_behavior_dataset!$H569&gt;=1341,"Yes","No")</f>
        <v>No</v>
      </c>
      <c r="P569" t="str">
        <f>IF(user_behavior_dataset!$F569&gt;=2229,"Yes","No")</f>
        <v>No</v>
      </c>
    </row>
    <row r="570" spans="1:16" x14ac:dyDescent="0.3">
      <c r="A570">
        <v>569</v>
      </c>
      <c r="B570" t="s">
        <v>11</v>
      </c>
      <c r="C570" t="s">
        <v>12</v>
      </c>
      <c r="D570">
        <v>291</v>
      </c>
      <c r="E570">
        <v>5.3</v>
      </c>
      <c r="F570">
        <v>1537</v>
      </c>
      <c r="G570">
        <v>43</v>
      </c>
      <c r="H570">
        <v>700</v>
      </c>
      <c r="I570">
        <v>49</v>
      </c>
      <c r="J570" t="str">
        <f t="shared" si="16"/>
        <v>40+</v>
      </c>
      <c r="K570" t="s">
        <v>15</v>
      </c>
      <c r="L570">
        <v>3</v>
      </c>
      <c r="M570" t="str">
        <f t="shared" si="17"/>
        <v>Yes</v>
      </c>
      <c r="N570" t="str">
        <f>IF(user_behavior_dataset!$D570&lt;60,"Low",
IF(user_behavior_dataset!$D570&lt;=180,"Medium","High"))</f>
        <v>High</v>
      </c>
      <c r="O570" t="str">
        <f>IF(user_behavior_dataset!$H570&gt;=1341,"Yes","No")</f>
        <v>No</v>
      </c>
      <c r="P570" t="str">
        <f>IF(user_behavior_dataset!$F570&gt;=2229,"Yes","No")</f>
        <v>No</v>
      </c>
    </row>
    <row r="571" spans="1:16" x14ac:dyDescent="0.3">
      <c r="A571">
        <v>570</v>
      </c>
      <c r="B571" t="s">
        <v>11</v>
      </c>
      <c r="C571" t="s">
        <v>12</v>
      </c>
      <c r="D571">
        <v>404</v>
      </c>
      <c r="E571">
        <v>6.6</v>
      </c>
      <c r="F571">
        <v>2181</v>
      </c>
      <c r="G571">
        <v>77</v>
      </c>
      <c r="H571">
        <v>1327</v>
      </c>
      <c r="I571">
        <v>18</v>
      </c>
      <c r="J571" t="str">
        <f t="shared" si="16"/>
        <v>&lt;25</v>
      </c>
      <c r="K571" t="s">
        <v>13</v>
      </c>
      <c r="L571">
        <v>4</v>
      </c>
      <c r="M571" t="str">
        <f t="shared" si="17"/>
        <v>Yes</v>
      </c>
      <c r="N571" t="str">
        <f>IF(user_behavior_dataset!$D571&lt;60,"Low",
IF(user_behavior_dataset!$D571&lt;=180,"Medium","High"))</f>
        <v>High</v>
      </c>
      <c r="O571" t="str">
        <f>IF(user_behavior_dataset!$H571&gt;=1341,"Yes","No")</f>
        <v>No</v>
      </c>
      <c r="P571" t="str">
        <f>IF(user_behavior_dataset!$F571&gt;=2229,"Yes","No")</f>
        <v>No</v>
      </c>
    </row>
    <row r="572" spans="1:16" x14ac:dyDescent="0.3">
      <c r="A572">
        <v>571</v>
      </c>
      <c r="B572" t="s">
        <v>14</v>
      </c>
      <c r="C572" t="s">
        <v>12</v>
      </c>
      <c r="D572">
        <v>441</v>
      </c>
      <c r="E572">
        <v>7.1</v>
      </c>
      <c r="F572">
        <v>1928</v>
      </c>
      <c r="G572">
        <v>74</v>
      </c>
      <c r="H572">
        <v>1421</v>
      </c>
      <c r="I572">
        <v>57</v>
      </c>
      <c r="J572" t="str">
        <f t="shared" si="16"/>
        <v>40+</v>
      </c>
      <c r="K572" t="s">
        <v>13</v>
      </c>
      <c r="L572">
        <v>4</v>
      </c>
      <c r="M572" t="str">
        <f t="shared" si="17"/>
        <v>Yes</v>
      </c>
      <c r="N572" t="str">
        <f>IF(user_behavior_dataset!$D572&lt;60,"Low",
IF(user_behavior_dataset!$D572&lt;=180,"Medium","High"))</f>
        <v>High</v>
      </c>
      <c r="O572" t="str">
        <f>IF(user_behavior_dataset!$H572&gt;=1341,"Yes","No")</f>
        <v>Yes</v>
      </c>
      <c r="P572" t="str">
        <f>IF(user_behavior_dataset!$F572&gt;=2229,"Yes","No")</f>
        <v>No</v>
      </c>
    </row>
    <row r="573" spans="1:16" x14ac:dyDescent="0.3">
      <c r="A573">
        <v>572</v>
      </c>
      <c r="B573" t="s">
        <v>11</v>
      </c>
      <c r="C573" t="s">
        <v>12</v>
      </c>
      <c r="D573">
        <v>444</v>
      </c>
      <c r="E573">
        <v>6.1</v>
      </c>
      <c r="F573">
        <v>2229</v>
      </c>
      <c r="G573">
        <v>73</v>
      </c>
      <c r="H573">
        <v>1194</v>
      </c>
      <c r="I573">
        <v>25</v>
      </c>
      <c r="J573" t="str">
        <f t="shared" si="16"/>
        <v>25–40</v>
      </c>
      <c r="K573" t="s">
        <v>15</v>
      </c>
      <c r="L573">
        <v>4</v>
      </c>
      <c r="M573" t="str">
        <f t="shared" si="17"/>
        <v>Yes</v>
      </c>
      <c r="N573" t="str">
        <f>IF(user_behavior_dataset!$D573&lt;60,"Low",
IF(user_behavior_dataset!$D573&lt;=180,"Medium","High"))</f>
        <v>High</v>
      </c>
      <c r="O573" t="str">
        <f>IF(user_behavior_dataset!$H573&gt;=1341,"Yes","No")</f>
        <v>No</v>
      </c>
      <c r="P573" t="str">
        <f>IF(user_behavior_dataset!$F573&gt;=2229,"Yes","No")</f>
        <v>Yes</v>
      </c>
    </row>
    <row r="574" spans="1:16" x14ac:dyDescent="0.3">
      <c r="A574">
        <v>573</v>
      </c>
      <c r="B574" t="s">
        <v>14</v>
      </c>
      <c r="C574" t="s">
        <v>12</v>
      </c>
      <c r="D574">
        <v>211</v>
      </c>
      <c r="E574">
        <v>5.9</v>
      </c>
      <c r="F574">
        <v>1757</v>
      </c>
      <c r="G574">
        <v>42</v>
      </c>
      <c r="H574">
        <v>864</v>
      </c>
      <c r="I574">
        <v>56</v>
      </c>
      <c r="J574" t="str">
        <f t="shared" si="16"/>
        <v>40+</v>
      </c>
      <c r="K574" t="s">
        <v>15</v>
      </c>
      <c r="L574">
        <v>3</v>
      </c>
      <c r="M574" t="str">
        <f t="shared" si="17"/>
        <v>Yes</v>
      </c>
      <c r="N574" t="str">
        <f>IF(user_behavior_dataset!$D574&lt;60,"Low",
IF(user_behavior_dataset!$D574&lt;=180,"Medium","High"))</f>
        <v>High</v>
      </c>
      <c r="O574" t="str">
        <f>IF(user_behavior_dataset!$H574&gt;=1341,"Yes","No")</f>
        <v>No</v>
      </c>
      <c r="P574" t="str">
        <f>IF(user_behavior_dataset!$F574&gt;=2229,"Yes","No")</f>
        <v>No</v>
      </c>
    </row>
    <row r="575" spans="1:16" x14ac:dyDescent="0.3">
      <c r="A575">
        <v>574</v>
      </c>
      <c r="B575" t="s">
        <v>19</v>
      </c>
      <c r="C575" t="s">
        <v>12</v>
      </c>
      <c r="D575">
        <v>537</v>
      </c>
      <c r="E575">
        <v>9.1</v>
      </c>
      <c r="F575">
        <v>2858</v>
      </c>
      <c r="G575">
        <v>86</v>
      </c>
      <c r="H575">
        <v>2158</v>
      </c>
      <c r="I575">
        <v>22</v>
      </c>
      <c r="J575" t="str">
        <f t="shared" si="16"/>
        <v>&lt;25</v>
      </c>
      <c r="K575" t="s">
        <v>13</v>
      </c>
      <c r="L575">
        <v>5</v>
      </c>
      <c r="M575" t="str">
        <f t="shared" si="17"/>
        <v>Yes</v>
      </c>
      <c r="N575" t="str">
        <f>IF(user_behavior_dataset!$D575&lt;60,"Low",
IF(user_behavior_dataset!$D575&lt;=180,"Medium","High"))</f>
        <v>High</v>
      </c>
      <c r="O575" t="str">
        <f>IF(user_behavior_dataset!$H575&gt;=1341,"Yes","No")</f>
        <v>Yes</v>
      </c>
      <c r="P575" t="str">
        <f>IF(user_behavior_dataset!$F575&gt;=2229,"Yes","No")</f>
        <v>Yes</v>
      </c>
    </row>
    <row r="576" spans="1:16" x14ac:dyDescent="0.3">
      <c r="A576">
        <v>575</v>
      </c>
      <c r="B576" t="s">
        <v>16</v>
      </c>
      <c r="C576" t="s">
        <v>12</v>
      </c>
      <c r="D576">
        <v>519</v>
      </c>
      <c r="E576">
        <v>10.9</v>
      </c>
      <c r="F576">
        <v>2571</v>
      </c>
      <c r="G576">
        <v>93</v>
      </c>
      <c r="H576">
        <v>2163</v>
      </c>
      <c r="I576">
        <v>47</v>
      </c>
      <c r="J576" t="str">
        <f t="shared" si="16"/>
        <v>40+</v>
      </c>
      <c r="K576" t="s">
        <v>15</v>
      </c>
      <c r="L576">
        <v>5</v>
      </c>
      <c r="M576" t="str">
        <f t="shared" si="17"/>
        <v>Yes</v>
      </c>
      <c r="N576" t="str">
        <f>IF(user_behavior_dataset!$D576&lt;60,"Low",
IF(user_behavior_dataset!$D576&lt;=180,"Medium","High"))</f>
        <v>High</v>
      </c>
      <c r="O576" t="str">
        <f>IF(user_behavior_dataset!$H576&gt;=1341,"Yes","No")</f>
        <v>Yes</v>
      </c>
      <c r="P576" t="str">
        <f>IF(user_behavior_dataset!$F576&gt;=2229,"Yes","No")</f>
        <v>Yes</v>
      </c>
    </row>
    <row r="577" spans="1:16" x14ac:dyDescent="0.3">
      <c r="A577">
        <v>576</v>
      </c>
      <c r="B577" t="s">
        <v>19</v>
      </c>
      <c r="C577" t="s">
        <v>12</v>
      </c>
      <c r="D577">
        <v>94</v>
      </c>
      <c r="E577">
        <v>3.5</v>
      </c>
      <c r="F577">
        <v>606</v>
      </c>
      <c r="G577">
        <v>30</v>
      </c>
      <c r="H577">
        <v>446</v>
      </c>
      <c r="I577">
        <v>49</v>
      </c>
      <c r="J577" t="str">
        <f t="shared" si="16"/>
        <v>40+</v>
      </c>
      <c r="K577" t="s">
        <v>13</v>
      </c>
      <c r="L577">
        <v>2</v>
      </c>
      <c r="M577" t="str">
        <f t="shared" si="17"/>
        <v>Yes</v>
      </c>
      <c r="N577" t="str">
        <f>IF(user_behavior_dataset!$D577&lt;60,"Low",
IF(user_behavior_dataset!$D577&lt;=180,"Medium","High"))</f>
        <v>Medium</v>
      </c>
      <c r="O577" t="str">
        <f>IF(user_behavior_dataset!$H577&gt;=1341,"Yes","No")</f>
        <v>No</v>
      </c>
      <c r="P577" t="str">
        <f>IF(user_behavior_dataset!$F577&gt;=2229,"Yes","No")</f>
        <v>No</v>
      </c>
    </row>
    <row r="578" spans="1:16" x14ac:dyDescent="0.3">
      <c r="A578">
        <v>577</v>
      </c>
      <c r="B578" t="s">
        <v>11</v>
      </c>
      <c r="C578" t="s">
        <v>12</v>
      </c>
      <c r="D578">
        <v>554</v>
      </c>
      <c r="E578">
        <v>10.3</v>
      </c>
      <c r="F578">
        <v>2776</v>
      </c>
      <c r="G578">
        <v>83</v>
      </c>
      <c r="H578">
        <v>1606</v>
      </c>
      <c r="I578">
        <v>34</v>
      </c>
      <c r="J578" t="str">
        <f t="shared" si="16"/>
        <v>25–40</v>
      </c>
      <c r="K578" t="s">
        <v>15</v>
      </c>
      <c r="L578">
        <v>5</v>
      </c>
      <c r="M578" t="str">
        <f t="shared" si="17"/>
        <v>Yes</v>
      </c>
      <c r="N578" t="str">
        <f>IF(user_behavior_dataset!$D578&lt;60,"Low",
IF(user_behavior_dataset!$D578&lt;=180,"Medium","High"))</f>
        <v>High</v>
      </c>
      <c r="O578" t="str">
        <f>IF(user_behavior_dataset!$H578&gt;=1341,"Yes","No")</f>
        <v>Yes</v>
      </c>
      <c r="P578" t="str">
        <f>IF(user_behavior_dataset!$F578&gt;=2229,"Yes","No")</f>
        <v>Yes</v>
      </c>
    </row>
    <row r="579" spans="1:16" x14ac:dyDescent="0.3">
      <c r="A579">
        <v>578</v>
      </c>
      <c r="B579" t="s">
        <v>17</v>
      </c>
      <c r="C579" t="s">
        <v>18</v>
      </c>
      <c r="D579">
        <v>381</v>
      </c>
      <c r="E579">
        <v>7.5</v>
      </c>
      <c r="F579">
        <v>2216</v>
      </c>
      <c r="G579">
        <v>66</v>
      </c>
      <c r="H579">
        <v>1291</v>
      </c>
      <c r="I579">
        <v>37</v>
      </c>
      <c r="J579" t="str">
        <f t="shared" ref="J579:J642" si="18">IF(I579="","Unknown",IF(I579&lt;25,"&lt;25",IF(I579&lt;=40,"25–40","40+")))</f>
        <v>25–40</v>
      </c>
      <c r="K579" t="s">
        <v>15</v>
      </c>
      <c r="L579">
        <v>4</v>
      </c>
      <c r="M579" t="str">
        <f t="shared" ref="M579:M642" si="19">IF(D579&gt;=60,"Yes","No")</f>
        <v>Yes</v>
      </c>
      <c r="N579" t="str">
        <f>IF(user_behavior_dataset!$D579&lt;60,"Low",
IF(user_behavior_dataset!$D579&lt;=180,"Medium","High"))</f>
        <v>High</v>
      </c>
      <c r="O579" t="str">
        <f>IF(user_behavior_dataset!$H579&gt;=1341,"Yes","No")</f>
        <v>No</v>
      </c>
      <c r="P579" t="str">
        <f>IF(user_behavior_dataset!$F579&gt;=2229,"Yes","No")</f>
        <v>No</v>
      </c>
    </row>
    <row r="580" spans="1:16" x14ac:dyDescent="0.3">
      <c r="A580">
        <v>579</v>
      </c>
      <c r="B580" t="s">
        <v>14</v>
      </c>
      <c r="C580" t="s">
        <v>12</v>
      </c>
      <c r="D580">
        <v>257</v>
      </c>
      <c r="E580">
        <v>6</v>
      </c>
      <c r="F580">
        <v>1715</v>
      </c>
      <c r="G580">
        <v>49</v>
      </c>
      <c r="H580">
        <v>916</v>
      </c>
      <c r="I580">
        <v>40</v>
      </c>
      <c r="J580" t="str">
        <f t="shared" si="18"/>
        <v>25–40</v>
      </c>
      <c r="K580" t="s">
        <v>15</v>
      </c>
      <c r="L580">
        <v>3</v>
      </c>
      <c r="M580" t="str">
        <f t="shared" si="19"/>
        <v>Yes</v>
      </c>
      <c r="N580" t="str">
        <f>IF(user_behavior_dataset!$D580&lt;60,"Low",
IF(user_behavior_dataset!$D580&lt;=180,"Medium","High"))</f>
        <v>High</v>
      </c>
      <c r="O580" t="str">
        <f>IF(user_behavior_dataset!$H580&gt;=1341,"Yes","No")</f>
        <v>No</v>
      </c>
      <c r="P580" t="str">
        <f>IF(user_behavior_dataset!$F580&gt;=2229,"Yes","No")</f>
        <v>No</v>
      </c>
    </row>
    <row r="581" spans="1:16" x14ac:dyDescent="0.3">
      <c r="A581">
        <v>580</v>
      </c>
      <c r="B581" t="s">
        <v>19</v>
      </c>
      <c r="C581" t="s">
        <v>12</v>
      </c>
      <c r="D581">
        <v>47</v>
      </c>
      <c r="E581">
        <v>1.1000000000000001</v>
      </c>
      <c r="F581">
        <v>532</v>
      </c>
      <c r="G581">
        <v>18</v>
      </c>
      <c r="H581">
        <v>122</v>
      </c>
      <c r="I581">
        <v>36</v>
      </c>
      <c r="J581" t="str">
        <f t="shared" si="18"/>
        <v>25–40</v>
      </c>
      <c r="K581" t="s">
        <v>13</v>
      </c>
      <c r="L581">
        <v>1</v>
      </c>
      <c r="M581" t="str">
        <f t="shared" si="19"/>
        <v>No</v>
      </c>
      <c r="N581" t="str">
        <f>IF(user_behavior_dataset!$D581&lt;60,"Low",
IF(user_behavior_dataset!$D581&lt;=180,"Medium","High"))</f>
        <v>Low</v>
      </c>
      <c r="O581" t="str">
        <f>IF(user_behavior_dataset!$H581&gt;=1341,"Yes","No")</f>
        <v>No</v>
      </c>
      <c r="P581" t="str">
        <f>IF(user_behavior_dataset!$F581&gt;=2229,"Yes","No")</f>
        <v>No</v>
      </c>
    </row>
    <row r="582" spans="1:16" x14ac:dyDescent="0.3">
      <c r="A582">
        <v>581</v>
      </c>
      <c r="B582" t="s">
        <v>17</v>
      </c>
      <c r="C582" t="s">
        <v>18</v>
      </c>
      <c r="D582">
        <v>527</v>
      </c>
      <c r="E582">
        <v>10</v>
      </c>
      <c r="F582">
        <v>2430</v>
      </c>
      <c r="G582">
        <v>82</v>
      </c>
      <c r="H582">
        <v>1737</v>
      </c>
      <c r="I582">
        <v>27</v>
      </c>
      <c r="J582" t="str">
        <f t="shared" si="18"/>
        <v>25–40</v>
      </c>
      <c r="K582" t="s">
        <v>15</v>
      </c>
      <c r="L582">
        <v>5</v>
      </c>
      <c r="M582" t="str">
        <f t="shared" si="19"/>
        <v>Yes</v>
      </c>
      <c r="N582" t="str">
        <f>IF(user_behavior_dataset!$D582&lt;60,"Low",
IF(user_behavior_dataset!$D582&lt;=180,"Medium","High"))</f>
        <v>High</v>
      </c>
      <c r="O582" t="str">
        <f>IF(user_behavior_dataset!$H582&gt;=1341,"Yes","No")</f>
        <v>Yes</v>
      </c>
      <c r="P582" t="str">
        <f>IF(user_behavior_dataset!$F582&gt;=2229,"Yes","No")</f>
        <v>Yes</v>
      </c>
    </row>
    <row r="583" spans="1:16" x14ac:dyDescent="0.3">
      <c r="A583">
        <v>582</v>
      </c>
      <c r="B583" t="s">
        <v>19</v>
      </c>
      <c r="C583" t="s">
        <v>12</v>
      </c>
      <c r="D583">
        <v>148</v>
      </c>
      <c r="E583">
        <v>2.7</v>
      </c>
      <c r="F583">
        <v>625</v>
      </c>
      <c r="G583">
        <v>34</v>
      </c>
      <c r="H583">
        <v>416</v>
      </c>
      <c r="I583">
        <v>27</v>
      </c>
      <c r="J583" t="str">
        <f t="shared" si="18"/>
        <v>25–40</v>
      </c>
      <c r="K583" t="s">
        <v>13</v>
      </c>
      <c r="L583">
        <v>2</v>
      </c>
      <c r="M583" t="str">
        <f t="shared" si="19"/>
        <v>Yes</v>
      </c>
      <c r="N583" t="str">
        <f>IF(user_behavior_dataset!$D583&lt;60,"Low",
IF(user_behavior_dataset!$D583&lt;=180,"Medium","High"))</f>
        <v>Medium</v>
      </c>
      <c r="O583" t="str">
        <f>IF(user_behavior_dataset!$H583&gt;=1341,"Yes","No")</f>
        <v>No</v>
      </c>
      <c r="P583" t="str">
        <f>IF(user_behavior_dataset!$F583&gt;=2229,"Yes","No")</f>
        <v>No</v>
      </c>
    </row>
    <row r="584" spans="1:16" x14ac:dyDescent="0.3">
      <c r="A584">
        <v>583</v>
      </c>
      <c r="B584" t="s">
        <v>17</v>
      </c>
      <c r="C584" t="s">
        <v>18</v>
      </c>
      <c r="D584">
        <v>191</v>
      </c>
      <c r="E584">
        <v>5.7</v>
      </c>
      <c r="F584">
        <v>1414</v>
      </c>
      <c r="G584">
        <v>53</v>
      </c>
      <c r="H584">
        <v>991</v>
      </c>
      <c r="I584">
        <v>19</v>
      </c>
      <c r="J584" t="str">
        <f t="shared" si="18"/>
        <v>&lt;25</v>
      </c>
      <c r="K584" t="s">
        <v>15</v>
      </c>
      <c r="L584">
        <v>3</v>
      </c>
      <c r="M584" t="str">
        <f t="shared" si="19"/>
        <v>Yes</v>
      </c>
      <c r="N584" t="str">
        <f>IF(user_behavior_dataset!$D584&lt;60,"Low",
IF(user_behavior_dataset!$D584&lt;=180,"Medium","High"))</f>
        <v>High</v>
      </c>
      <c r="O584" t="str">
        <f>IF(user_behavior_dataset!$H584&gt;=1341,"Yes","No")</f>
        <v>No</v>
      </c>
      <c r="P584" t="str">
        <f>IF(user_behavior_dataset!$F584&gt;=2229,"Yes","No")</f>
        <v>No</v>
      </c>
    </row>
    <row r="585" spans="1:16" x14ac:dyDescent="0.3">
      <c r="A585">
        <v>584</v>
      </c>
      <c r="B585" t="s">
        <v>11</v>
      </c>
      <c r="C585" t="s">
        <v>12</v>
      </c>
      <c r="D585">
        <v>71</v>
      </c>
      <c r="E585">
        <v>1.9</v>
      </c>
      <c r="F585">
        <v>571</v>
      </c>
      <c r="G585">
        <v>10</v>
      </c>
      <c r="H585">
        <v>117</v>
      </c>
      <c r="I585">
        <v>43</v>
      </c>
      <c r="J585" t="str">
        <f t="shared" si="18"/>
        <v>40+</v>
      </c>
      <c r="K585" t="s">
        <v>15</v>
      </c>
      <c r="L585">
        <v>1</v>
      </c>
      <c r="M585" t="str">
        <f t="shared" si="19"/>
        <v>Yes</v>
      </c>
      <c r="N585" t="str">
        <f>IF(user_behavior_dataset!$D585&lt;60,"Low",
IF(user_behavior_dataset!$D585&lt;=180,"Medium","High"))</f>
        <v>Medium</v>
      </c>
      <c r="O585" t="str">
        <f>IF(user_behavior_dataset!$H585&gt;=1341,"Yes","No")</f>
        <v>No</v>
      </c>
      <c r="P585" t="str">
        <f>IF(user_behavior_dataset!$F585&gt;=2229,"Yes","No")</f>
        <v>No</v>
      </c>
    </row>
    <row r="586" spans="1:16" x14ac:dyDescent="0.3">
      <c r="A586">
        <v>585</v>
      </c>
      <c r="B586" t="s">
        <v>14</v>
      </c>
      <c r="C586" t="s">
        <v>12</v>
      </c>
      <c r="D586">
        <v>73</v>
      </c>
      <c r="E586">
        <v>1.3</v>
      </c>
      <c r="F586">
        <v>538</v>
      </c>
      <c r="G586">
        <v>19</v>
      </c>
      <c r="H586">
        <v>175</v>
      </c>
      <c r="I586">
        <v>30</v>
      </c>
      <c r="J586" t="str">
        <f t="shared" si="18"/>
        <v>25–40</v>
      </c>
      <c r="K586" t="s">
        <v>15</v>
      </c>
      <c r="L586">
        <v>1</v>
      </c>
      <c r="M586" t="str">
        <f t="shared" si="19"/>
        <v>Yes</v>
      </c>
      <c r="N586" t="str">
        <f>IF(user_behavior_dataset!$D586&lt;60,"Low",
IF(user_behavior_dataset!$D586&lt;=180,"Medium","High"))</f>
        <v>Medium</v>
      </c>
      <c r="O586" t="str">
        <f>IF(user_behavior_dataset!$H586&gt;=1341,"Yes","No")</f>
        <v>No</v>
      </c>
      <c r="P586" t="str">
        <f>IF(user_behavior_dataset!$F586&gt;=2229,"Yes","No")</f>
        <v>No</v>
      </c>
    </row>
    <row r="587" spans="1:16" x14ac:dyDescent="0.3">
      <c r="A587">
        <v>586</v>
      </c>
      <c r="B587" t="s">
        <v>14</v>
      </c>
      <c r="C587" t="s">
        <v>12</v>
      </c>
      <c r="D587">
        <v>149</v>
      </c>
      <c r="E587">
        <v>3.1</v>
      </c>
      <c r="F587">
        <v>1191</v>
      </c>
      <c r="G587">
        <v>28</v>
      </c>
      <c r="H587">
        <v>563</v>
      </c>
      <c r="I587">
        <v>29</v>
      </c>
      <c r="J587" t="str">
        <f t="shared" si="18"/>
        <v>25–40</v>
      </c>
      <c r="K587" t="s">
        <v>13</v>
      </c>
      <c r="L587">
        <v>2</v>
      </c>
      <c r="M587" t="str">
        <f t="shared" si="19"/>
        <v>Yes</v>
      </c>
      <c r="N587" t="str">
        <f>IF(user_behavior_dataset!$D587&lt;60,"Low",
IF(user_behavior_dataset!$D587&lt;=180,"Medium","High"))</f>
        <v>Medium</v>
      </c>
      <c r="O587" t="str">
        <f>IF(user_behavior_dataset!$H587&gt;=1341,"Yes","No")</f>
        <v>No</v>
      </c>
      <c r="P587" t="str">
        <f>IF(user_behavior_dataset!$F587&gt;=2229,"Yes","No")</f>
        <v>No</v>
      </c>
    </row>
    <row r="588" spans="1:16" x14ac:dyDescent="0.3">
      <c r="A588">
        <v>587</v>
      </c>
      <c r="B588" t="s">
        <v>16</v>
      </c>
      <c r="C588" t="s">
        <v>12</v>
      </c>
      <c r="D588">
        <v>197</v>
      </c>
      <c r="E588">
        <v>4.4000000000000004</v>
      </c>
      <c r="F588">
        <v>1665</v>
      </c>
      <c r="G588">
        <v>44</v>
      </c>
      <c r="H588">
        <v>608</v>
      </c>
      <c r="I588">
        <v>43</v>
      </c>
      <c r="J588" t="str">
        <f t="shared" si="18"/>
        <v>40+</v>
      </c>
      <c r="K588" t="s">
        <v>15</v>
      </c>
      <c r="L588">
        <v>3</v>
      </c>
      <c r="M588" t="str">
        <f t="shared" si="19"/>
        <v>Yes</v>
      </c>
      <c r="N588" t="str">
        <f>IF(user_behavior_dataset!$D588&lt;60,"Low",
IF(user_behavior_dataset!$D588&lt;=180,"Medium","High"))</f>
        <v>High</v>
      </c>
      <c r="O588" t="str">
        <f>IF(user_behavior_dataset!$H588&gt;=1341,"Yes","No")</f>
        <v>No</v>
      </c>
      <c r="P588" t="str">
        <f>IF(user_behavior_dataset!$F588&gt;=2229,"Yes","No")</f>
        <v>No</v>
      </c>
    </row>
    <row r="589" spans="1:16" x14ac:dyDescent="0.3">
      <c r="A589">
        <v>588</v>
      </c>
      <c r="B589" t="s">
        <v>19</v>
      </c>
      <c r="C589" t="s">
        <v>12</v>
      </c>
      <c r="D589">
        <v>328</v>
      </c>
      <c r="E589">
        <v>6.1</v>
      </c>
      <c r="F589">
        <v>1975</v>
      </c>
      <c r="G589">
        <v>72</v>
      </c>
      <c r="H589">
        <v>1101</v>
      </c>
      <c r="I589">
        <v>24</v>
      </c>
      <c r="J589" t="str">
        <f t="shared" si="18"/>
        <v>&lt;25</v>
      </c>
      <c r="K589" t="s">
        <v>13</v>
      </c>
      <c r="L589">
        <v>4</v>
      </c>
      <c r="M589" t="str">
        <f t="shared" si="19"/>
        <v>Yes</v>
      </c>
      <c r="N589" t="str">
        <f>IF(user_behavior_dataset!$D589&lt;60,"Low",
IF(user_behavior_dataset!$D589&lt;=180,"Medium","High"))</f>
        <v>High</v>
      </c>
      <c r="O589" t="str">
        <f>IF(user_behavior_dataset!$H589&gt;=1341,"Yes","No")</f>
        <v>No</v>
      </c>
      <c r="P589" t="str">
        <f>IF(user_behavior_dataset!$F589&gt;=2229,"Yes","No")</f>
        <v>No</v>
      </c>
    </row>
    <row r="590" spans="1:16" x14ac:dyDescent="0.3">
      <c r="A590">
        <v>589</v>
      </c>
      <c r="B590" t="s">
        <v>14</v>
      </c>
      <c r="C590" t="s">
        <v>12</v>
      </c>
      <c r="D590">
        <v>424</v>
      </c>
      <c r="E590">
        <v>7.5</v>
      </c>
      <c r="F590">
        <v>1995</v>
      </c>
      <c r="G590">
        <v>75</v>
      </c>
      <c r="H590">
        <v>1228</v>
      </c>
      <c r="I590">
        <v>36</v>
      </c>
      <c r="J590" t="str">
        <f t="shared" si="18"/>
        <v>25–40</v>
      </c>
      <c r="K590" t="s">
        <v>13</v>
      </c>
      <c r="L590">
        <v>4</v>
      </c>
      <c r="M590" t="str">
        <f t="shared" si="19"/>
        <v>Yes</v>
      </c>
      <c r="N590" t="str">
        <f>IF(user_behavior_dataset!$D590&lt;60,"Low",
IF(user_behavior_dataset!$D590&lt;=180,"Medium","High"))</f>
        <v>High</v>
      </c>
      <c r="O590" t="str">
        <f>IF(user_behavior_dataset!$H590&gt;=1341,"Yes","No")</f>
        <v>No</v>
      </c>
      <c r="P590" t="str">
        <f>IF(user_behavior_dataset!$F590&gt;=2229,"Yes","No")</f>
        <v>No</v>
      </c>
    </row>
    <row r="591" spans="1:16" x14ac:dyDescent="0.3">
      <c r="A591">
        <v>590</v>
      </c>
      <c r="B591" t="s">
        <v>19</v>
      </c>
      <c r="C591" t="s">
        <v>12</v>
      </c>
      <c r="D591">
        <v>111</v>
      </c>
      <c r="E591">
        <v>3.6</v>
      </c>
      <c r="F591">
        <v>627</v>
      </c>
      <c r="G591">
        <v>26</v>
      </c>
      <c r="H591">
        <v>464</v>
      </c>
      <c r="I591">
        <v>39</v>
      </c>
      <c r="J591" t="str">
        <f t="shared" si="18"/>
        <v>25–40</v>
      </c>
      <c r="K591" t="s">
        <v>15</v>
      </c>
      <c r="L591">
        <v>2</v>
      </c>
      <c r="M591" t="str">
        <f t="shared" si="19"/>
        <v>Yes</v>
      </c>
      <c r="N591" t="str">
        <f>IF(user_behavior_dataset!$D591&lt;60,"Low",
IF(user_behavior_dataset!$D591&lt;=180,"Medium","High"))</f>
        <v>Medium</v>
      </c>
      <c r="O591" t="str">
        <f>IF(user_behavior_dataset!$H591&gt;=1341,"Yes","No")</f>
        <v>No</v>
      </c>
      <c r="P591" t="str">
        <f>IF(user_behavior_dataset!$F591&gt;=2229,"Yes","No")</f>
        <v>No</v>
      </c>
    </row>
    <row r="592" spans="1:16" x14ac:dyDescent="0.3">
      <c r="A592">
        <v>591</v>
      </c>
      <c r="B592" t="s">
        <v>19</v>
      </c>
      <c r="C592" t="s">
        <v>12</v>
      </c>
      <c r="D592">
        <v>159</v>
      </c>
      <c r="E592">
        <v>3.7</v>
      </c>
      <c r="F592">
        <v>630</v>
      </c>
      <c r="G592">
        <v>33</v>
      </c>
      <c r="H592">
        <v>575</v>
      </c>
      <c r="I592">
        <v>30</v>
      </c>
      <c r="J592" t="str">
        <f t="shared" si="18"/>
        <v>25–40</v>
      </c>
      <c r="K592" t="s">
        <v>13</v>
      </c>
      <c r="L592">
        <v>2</v>
      </c>
      <c r="M592" t="str">
        <f t="shared" si="19"/>
        <v>Yes</v>
      </c>
      <c r="N592" t="str">
        <f>IF(user_behavior_dataset!$D592&lt;60,"Low",
IF(user_behavior_dataset!$D592&lt;=180,"Medium","High"))</f>
        <v>Medium</v>
      </c>
      <c r="O592" t="str">
        <f>IF(user_behavior_dataset!$H592&gt;=1341,"Yes","No")</f>
        <v>No</v>
      </c>
      <c r="P592" t="str">
        <f>IF(user_behavior_dataset!$F592&gt;=2229,"Yes","No")</f>
        <v>No</v>
      </c>
    </row>
    <row r="593" spans="1:16" x14ac:dyDescent="0.3">
      <c r="A593">
        <v>592</v>
      </c>
      <c r="B593" t="s">
        <v>11</v>
      </c>
      <c r="C593" t="s">
        <v>12</v>
      </c>
      <c r="D593">
        <v>580</v>
      </c>
      <c r="E593">
        <v>11.5</v>
      </c>
      <c r="F593">
        <v>2767</v>
      </c>
      <c r="G593">
        <v>84</v>
      </c>
      <c r="H593">
        <v>2341</v>
      </c>
      <c r="I593">
        <v>36</v>
      </c>
      <c r="J593" t="str">
        <f t="shared" si="18"/>
        <v>25–40</v>
      </c>
      <c r="K593" t="s">
        <v>15</v>
      </c>
      <c r="L593">
        <v>5</v>
      </c>
      <c r="M593" t="str">
        <f t="shared" si="19"/>
        <v>Yes</v>
      </c>
      <c r="N593" t="str">
        <f>IF(user_behavior_dataset!$D593&lt;60,"Low",
IF(user_behavior_dataset!$D593&lt;=180,"Medium","High"))</f>
        <v>High</v>
      </c>
      <c r="O593" t="str">
        <f>IF(user_behavior_dataset!$H593&gt;=1341,"Yes","No")</f>
        <v>Yes</v>
      </c>
      <c r="P593" t="str">
        <f>IF(user_behavior_dataset!$F593&gt;=2229,"Yes","No")</f>
        <v>Yes</v>
      </c>
    </row>
    <row r="594" spans="1:16" x14ac:dyDescent="0.3">
      <c r="A594">
        <v>593</v>
      </c>
      <c r="B594" t="s">
        <v>19</v>
      </c>
      <c r="C594" t="s">
        <v>12</v>
      </c>
      <c r="D594">
        <v>379</v>
      </c>
      <c r="E594">
        <v>7.7</v>
      </c>
      <c r="F594">
        <v>1809</v>
      </c>
      <c r="G594">
        <v>64</v>
      </c>
      <c r="H594">
        <v>1050</v>
      </c>
      <c r="I594">
        <v>22</v>
      </c>
      <c r="J594" t="str">
        <f t="shared" si="18"/>
        <v>&lt;25</v>
      </c>
      <c r="K594" t="s">
        <v>15</v>
      </c>
      <c r="L594">
        <v>4</v>
      </c>
      <c r="M594" t="str">
        <f t="shared" si="19"/>
        <v>Yes</v>
      </c>
      <c r="N594" t="str">
        <f>IF(user_behavior_dataset!$D594&lt;60,"Low",
IF(user_behavior_dataset!$D594&lt;=180,"Medium","High"))</f>
        <v>High</v>
      </c>
      <c r="O594" t="str">
        <f>IF(user_behavior_dataset!$H594&gt;=1341,"Yes","No")</f>
        <v>No</v>
      </c>
      <c r="P594" t="str">
        <f>IF(user_behavior_dataset!$F594&gt;=2229,"Yes","No")</f>
        <v>No</v>
      </c>
    </row>
    <row r="595" spans="1:16" x14ac:dyDescent="0.3">
      <c r="A595">
        <v>594</v>
      </c>
      <c r="B595" t="s">
        <v>19</v>
      </c>
      <c r="C595" t="s">
        <v>12</v>
      </c>
      <c r="D595">
        <v>217</v>
      </c>
      <c r="E595">
        <v>4.2</v>
      </c>
      <c r="F595">
        <v>1500</v>
      </c>
      <c r="G595">
        <v>42</v>
      </c>
      <c r="H595">
        <v>677</v>
      </c>
      <c r="I595">
        <v>26</v>
      </c>
      <c r="J595" t="str">
        <f t="shared" si="18"/>
        <v>25–40</v>
      </c>
      <c r="K595" t="s">
        <v>15</v>
      </c>
      <c r="L595">
        <v>3</v>
      </c>
      <c r="M595" t="str">
        <f t="shared" si="19"/>
        <v>Yes</v>
      </c>
      <c r="N595" t="str">
        <f>IF(user_behavior_dataset!$D595&lt;60,"Low",
IF(user_behavior_dataset!$D595&lt;=180,"Medium","High"))</f>
        <v>High</v>
      </c>
      <c r="O595" t="str">
        <f>IF(user_behavior_dataset!$H595&gt;=1341,"Yes","No")</f>
        <v>No</v>
      </c>
      <c r="P595" t="str">
        <f>IF(user_behavior_dataset!$F595&gt;=2229,"Yes","No")</f>
        <v>No</v>
      </c>
    </row>
    <row r="596" spans="1:16" x14ac:dyDescent="0.3">
      <c r="A596">
        <v>595</v>
      </c>
      <c r="B596" t="s">
        <v>16</v>
      </c>
      <c r="C596" t="s">
        <v>12</v>
      </c>
      <c r="D596">
        <v>447</v>
      </c>
      <c r="E596">
        <v>6.3</v>
      </c>
      <c r="F596">
        <v>1959</v>
      </c>
      <c r="G596">
        <v>63</v>
      </c>
      <c r="H596">
        <v>1441</v>
      </c>
      <c r="I596">
        <v>48</v>
      </c>
      <c r="J596" t="str">
        <f t="shared" si="18"/>
        <v>40+</v>
      </c>
      <c r="K596" t="s">
        <v>13</v>
      </c>
      <c r="L596">
        <v>4</v>
      </c>
      <c r="M596" t="str">
        <f t="shared" si="19"/>
        <v>Yes</v>
      </c>
      <c r="N596" t="str">
        <f>IF(user_behavior_dataset!$D596&lt;60,"Low",
IF(user_behavior_dataset!$D596&lt;=180,"Medium","High"))</f>
        <v>High</v>
      </c>
      <c r="O596" t="str">
        <f>IF(user_behavior_dataset!$H596&gt;=1341,"Yes","No")</f>
        <v>Yes</v>
      </c>
      <c r="P596" t="str">
        <f>IF(user_behavior_dataset!$F596&gt;=2229,"Yes","No")</f>
        <v>No</v>
      </c>
    </row>
    <row r="597" spans="1:16" x14ac:dyDescent="0.3">
      <c r="A597">
        <v>596</v>
      </c>
      <c r="B597" t="s">
        <v>14</v>
      </c>
      <c r="C597" t="s">
        <v>12</v>
      </c>
      <c r="D597">
        <v>512</v>
      </c>
      <c r="E597">
        <v>10.5</v>
      </c>
      <c r="F597">
        <v>2538</v>
      </c>
      <c r="G597">
        <v>82</v>
      </c>
      <c r="H597">
        <v>1694</v>
      </c>
      <c r="I597">
        <v>41</v>
      </c>
      <c r="J597" t="str">
        <f t="shared" si="18"/>
        <v>40+</v>
      </c>
      <c r="K597" t="s">
        <v>13</v>
      </c>
      <c r="L597">
        <v>5</v>
      </c>
      <c r="M597" t="str">
        <f t="shared" si="19"/>
        <v>Yes</v>
      </c>
      <c r="N597" t="str">
        <f>IF(user_behavior_dataset!$D597&lt;60,"Low",
IF(user_behavior_dataset!$D597&lt;=180,"Medium","High"))</f>
        <v>High</v>
      </c>
      <c r="O597" t="str">
        <f>IF(user_behavior_dataset!$H597&gt;=1341,"Yes","No")</f>
        <v>Yes</v>
      </c>
      <c r="P597" t="str">
        <f>IF(user_behavior_dataset!$F597&gt;=2229,"Yes","No")</f>
        <v>Yes</v>
      </c>
    </row>
    <row r="598" spans="1:16" x14ac:dyDescent="0.3">
      <c r="A598">
        <v>597</v>
      </c>
      <c r="B598" t="s">
        <v>16</v>
      </c>
      <c r="C598" t="s">
        <v>12</v>
      </c>
      <c r="D598">
        <v>511</v>
      </c>
      <c r="E598">
        <v>10.8</v>
      </c>
      <c r="F598">
        <v>2529</v>
      </c>
      <c r="G598">
        <v>91</v>
      </c>
      <c r="H598">
        <v>2387</v>
      </c>
      <c r="I598">
        <v>21</v>
      </c>
      <c r="J598" t="str">
        <f t="shared" si="18"/>
        <v>&lt;25</v>
      </c>
      <c r="K598" t="s">
        <v>13</v>
      </c>
      <c r="L598">
        <v>5</v>
      </c>
      <c r="M598" t="str">
        <f t="shared" si="19"/>
        <v>Yes</v>
      </c>
      <c r="N598" t="str">
        <f>IF(user_behavior_dataset!$D598&lt;60,"Low",
IF(user_behavior_dataset!$D598&lt;=180,"Medium","High"))</f>
        <v>High</v>
      </c>
      <c r="O598" t="str">
        <f>IF(user_behavior_dataset!$H598&gt;=1341,"Yes","No")</f>
        <v>Yes</v>
      </c>
      <c r="P598" t="str">
        <f>IF(user_behavior_dataset!$F598&gt;=2229,"Yes","No")</f>
        <v>Yes</v>
      </c>
    </row>
    <row r="599" spans="1:16" x14ac:dyDescent="0.3">
      <c r="A599">
        <v>598</v>
      </c>
      <c r="B599" t="s">
        <v>14</v>
      </c>
      <c r="C599" t="s">
        <v>12</v>
      </c>
      <c r="D599">
        <v>140</v>
      </c>
      <c r="E599">
        <v>2.5</v>
      </c>
      <c r="F599">
        <v>825</v>
      </c>
      <c r="G599">
        <v>31</v>
      </c>
      <c r="H599">
        <v>347</v>
      </c>
      <c r="I599">
        <v>59</v>
      </c>
      <c r="J599" t="str">
        <f t="shared" si="18"/>
        <v>40+</v>
      </c>
      <c r="K599" t="s">
        <v>13</v>
      </c>
      <c r="L599">
        <v>2</v>
      </c>
      <c r="M599" t="str">
        <f t="shared" si="19"/>
        <v>Yes</v>
      </c>
      <c r="N599" t="str">
        <f>IF(user_behavior_dataset!$D599&lt;60,"Low",
IF(user_behavior_dataset!$D599&lt;=180,"Medium","High"))</f>
        <v>Medium</v>
      </c>
      <c r="O599" t="str">
        <f>IF(user_behavior_dataset!$H599&gt;=1341,"Yes","No")</f>
        <v>No</v>
      </c>
      <c r="P599" t="str">
        <f>IF(user_behavior_dataset!$F599&gt;=2229,"Yes","No")</f>
        <v>No</v>
      </c>
    </row>
    <row r="600" spans="1:16" x14ac:dyDescent="0.3">
      <c r="A600">
        <v>599</v>
      </c>
      <c r="B600" t="s">
        <v>19</v>
      </c>
      <c r="C600" t="s">
        <v>12</v>
      </c>
      <c r="D600">
        <v>114</v>
      </c>
      <c r="E600">
        <v>3</v>
      </c>
      <c r="F600">
        <v>1131</v>
      </c>
      <c r="G600">
        <v>31</v>
      </c>
      <c r="H600">
        <v>596</v>
      </c>
      <c r="I600">
        <v>28</v>
      </c>
      <c r="J600" t="str">
        <f t="shared" si="18"/>
        <v>25–40</v>
      </c>
      <c r="K600" t="s">
        <v>13</v>
      </c>
      <c r="L600">
        <v>2</v>
      </c>
      <c r="M600" t="str">
        <f t="shared" si="19"/>
        <v>Yes</v>
      </c>
      <c r="N600" t="str">
        <f>IF(user_behavior_dataset!$D600&lt;60,"Low",
IF(user_behavior_dataset!$D600&lt;=180,"Medium","High"))</f>
        <v>Medium</v>
      </c>
      <c r="O600" t="str">
        <f>IF(user_behavior_dataset!$H600&gt;=1341,"Yes","No")</f>
        <v>No</v>
      </c>
      <c r="P600" t="str">
        <f>IF(user_behavior_dataset!$F600&gt;=2229,"Yes","No")</f>
        <v>No</v>
      </c>
    </row>
    <row r="601" spans="1:16" x14ac:dyDescent="0.3">
      <c r="A601">
        <v>600</v>
      </c>
      <c r="B601" t="s">
        <v>19</v>
      </c>
      <c r="C601" t="s">
        <v>12</v>
      </c>
      <c r="D601">
        <v>192</v>
      </c>
      <c r="E601">
        <v>4.3</v>
      </c>
      <c r="F601">
        <v>1382</v>
      </c>
      <c r="G601">
        <v>42</v>
      </c>
      <c r="H601">
        <v>905</v>
      </c>
      <c r="I601">
        <v>47</v>
      </c>
      <c r="J601" t="str">
        <f t="shared" si="18"/>
        <v>40+</v>
      </c>
      <c r="K601" t="s">
        <v>15</v>
      </c>
      <c r="L601">
        <v>3</v>
      </c>
      <c r="M601" t="str">
        <f t="shared" si="19"/>
        <v>Yes</v>
      </c>
      <c r="N601" t="str">
        <f>IF(user_behavior_dataset!$D601&lt;60,"Low",
IF(user_behavior_dataset!$D601&lt;=180,"Medium","High"))</f>
        <v>High</v>
      </c>
      <c r="O601" t="str">
        <f>IF(user_behavior_dataset!$H601&gt;=1341,"Yes","No")</f>
        <v>No</v>
      </c>
      <c r="P601" t="str">
        <f>IF(user_behavior_dataset!$F601&gt;=2229,"Yes","No")</f>
        <v>No</v>
      </c>
    </row>
    <row r="602" spans="1:16" x14ac:dyDescent="0.3">
      <c r="A602">
        <v>601</v>
      </c>
      <c r="B602" t="s">
        <v>17</v>
      </c>
      <c r="C602" t="s">
        <v>18</v>
      </c>
      <c r="D602">
        <v>325</v>
      </c>
      <c r="E602">
        <v>6</v>
      </c>
      <c r="F602">
        <v>2244</v>
      </c>
      <c r="G602">
        <v>70</v>
      </c>
      <c r="H602">
        <v>1296</v>
      </c>
      <c r="I602">
        <v>30</v>
      </c>
      <c r="J602" t="str">
        <f t="shared" si="18"/>
        <v>25–40</v>
      </c>
      <c r="K602" t="s">
        <v>15</v>
      </c>
      <c r="L602">
        <v>4</v>
      </c>
      <c r="M602" t="str">
        <f t="shared" si="19"/>
        <v>Yes</v>
      </c>
      <c r="N602" t="str">
        <f>IF(user_behavior_dataset!$D602&lt;60,"Low",
IF(user_behavior_dataset!$D602&lt;=180,"Medium","High"))</f>
        <v>High</v>
      </c>
      <c r="O602" t="str">
        <f>IF(user_behavior_dataset!$H602&gt;=1341,"Yes","No")</f>
        <v>No</v>
      </c>
      <c r="P602" t="str">
        <f>IF(user_behavior_dataset!$F602&gt;=2229,"Yes","No")</f>
        <v>Yes</v>
      </c>
    </row>
    <row r="603" spans="1:16" x14ac:dyDescent="0.3">
      <c r="A603">
        <v>602</v>
      </c>
      <c r="B603" t="s">
        <v>14</v>
      </c>
      <c r="C603" t="s">
        <v>12</v>
      </c>
      <c r="D603">
        <v>83</v>
      </c>
      <c r="E603">
        <v>1.2</v>
      </c>
      <c r="F603">
        <v>545</v>
      </c>
      <c r="G603">
        <v>15</v>
      </c>
      <c r="H603">
        <v>284</v>
      </c>
      <c r="I603">
        <v>44</v>
      </c>
      <c r="J603" t="str">
        <f t="shared" si="18"/>
        <v>40+</v>
      </c>
      <c r="K603" t="s">
        <v>13</v>
      </c>
      <c r="L603">
        <v>1</v>
      </c>
      <c r="M603" t="str">
        <f t="shared" si="19"/>
        <v>Yes</v>
      </c>
      <c r="N603" t="str">
        <f>IF(user_behavior_dataset!$D603&lt;60,"Low",
IF(user_behavior_dataset!$D603&lt;=180,"Medium","High"))</f>
        <v>Medium</v>
      </c>
      <c r="O603" t="str">
        <f>IF(user_behavior_dataset!$H603&gt;=1341,"Yes","No")</f>
        <v>No</v>
      </c>
      <c r="P603" t="str">
        <f>IF(user_behavior_dataset!$F603&gt;=2229,"Yes","No")</f>
        <v>No</v>
      </c>
    </row>
    <row r="604" spans="1:16" x14ac:dyDescent="0.3">
      <c r="A604">
        <v>603</v>
      </c>
      <c r="B604" t="s">
        <v>14</v>
      </c>
      <c r="C604" t="s">
        <v>12</v>
      </c>
      <c r="D604">
        <v>122</v>
      </c>
      <c r="E604">
        <v>3</v>
      </c>
      <c r="F604">
        <v>922</v>
      </c>
      <c r="G604">
        <v>32</v>
      </c>
      <c r="H604">
        <v>373</v>
      </c>
      <c r="I604">
        <v>43</v>
      </c>
      <c r="J604" t="str">
        <f t="shared" si="18"/>
        <v>40+</v>
      </c>
      <c r="K604" t="s">
        <v>13</v>
      </c>
      <c r="L604">
        <v>2</v>
      </c>
      <c r="M604" t="str">
        <f t="shared" si="19"/>
        <v>Yes</v>
      </c>
      <c r="N604" t="str">
        <f>IF(user_behavior_dataset!$D604&lt;60,"Low",
IF(user_behavior_dataset!$D604&lt;=180,"Medium","High"))</f>
        <v>Medium</v>
      </c>
      <c r="O604" t="str">
        <f>IF(user_behavior_dataset!$H604&gt;=1341,"Yes","No")</f>
        <v>No</v>
      </c>
      <c r="P604" t="str">
        <f>IF(user_behavior_dataset!$F604&gt;=2229,"Yes","No")</f>
        <v>No</v>
      </c>
    </row>
    <row r="605" spans="1:16" x14ac:dyDescent="0.3">
      <c r="A605">
        <v>604</v>
      </c>
      <c r="B605" t="s">
        <v>14</v>
      </c>
      <c r="C605" t="s">
        <v>12</v>
      </c>
      <c r="D605">
        <v>138</v>
      </c>
      <c r="E605">
        <v>2.1</v>
      </c>
      <c r="F605">
        <v>660</v>
      </c>
      <c r="G605">
        <v>22</v>
      </c>
      <c r="H605">
        <v>424</v>
      </c>
      <c r="I605">
        <v>41</v>
      </c>
      <c r="J605" t="str">
        <f t="shared" si="18"/>
        <v>40+</v>
      </c>
      <c r="K605" t="s">
        <v>15</v>
      </c>
      <c r="L605">
        <v>2</v>
      </c>
      <c r="M605" t="str">
        <f t="shared" si="19"/>
        <v>Yes</v>
      </c>
      <c r="N605" t="str">
        <f>IF(user_behavior_dataset!$D605&lt;60,"Low",
IF(user_behavior_dataset!$D605&lt;=180,"Medium","High"))</f>
        <v>Medium</v>
      </c>
      <c r="O605" t="str">
        <f>IF(user_behavior_dataset!$H605&gt;=1341,"Yes","No")</f>
        <v>No</v>
      </c>
      <c r="P605" t="str">
        <f>IF(user_behavior_dataset!$F605&gt;=2229,"Yes","No")</f>
        <v>No</v>
      </c>
    </row>
    <row r="606" spans="1:16" x14ac:dyDescent="0.3">
      <c r="A606">
        <v>605</v>
      </c>
      <c r="B606" t="s">
        <v>14</v>
      </c>
      <c r="C606" t="s">
        <v>12</v>
      </c>
      <c r="D606">
        <v>182</v>
      </c>
      <c r="E606">
        <v>5.3</v>
      </c>
      <c r="F606">
        <v>1278</v>
      </c>
      <c r="G606">
        <v>42</v>
      </c>
      <c r="H606">
        <v>885</v>
      </c>
      <c r="I606">
        <v>54</v>
      </c>
      <c r="J606" t="str">
        <f t="shared" si="18"/>
        <v>40+</v>
      </c>
      <c r="K606" t="s">
        <v>15</v>
      </c>
      <c r="L606">
        <v>3</v>
      </c>
      <c r="M606" t="str">
        <f t="shared" si="19"/>
        <v>Yes</v>
      </c>
      <c r="N606" t="str">
        <f>IF(user_behavior_dataset!$D606&lt;60,"Low",
IF(user_behavior_dataset!$D606&lt;=180,"Medium","High"))</f>
        <v>High</v>
      </c>
      <c r="O606" t="str">
        <f>IF(user_behavior_dataset!$H606&gt;=1341,"Yes","No")</f>
        <v>No</v>
      </c>
      <c r="P606" t="str">
        <f>IF(user_behavior_dataset!$F606&gt;=2229,"Yes","No")</f>
        <v>No</v>
      </c>
    </row>
    <row r="607" spans="1:16" x14ac:dyDescent="0.3">
      <c r="A607">
        <v>606</v>
      </c>
      <c r="B607" t="s">
        <v>14</v>
      </c>
      <c r="C607" t="s">
        <v>12</v>
      </c>
      <c r="D607">
        <v>425</v>
      </c>
      <c r="E607">
        <v>6</v>
      </c>
      <c r="F607">
        <v>1928</v>
      </c>
      <c r="G607">
        <v>72</v>
      </c>
      <c r="H607">
        <v>1150</v>
      </c>
      <c r="I607">
        <v>53</v>
      </c>
      <c r="J607" t="str">
        <f t="shared" si="18"/>
        <v>40+</v>
      </c>
      <c r="K607" t="s">
        <v>15</v>
      </c>
      <c r="L607">
        <v>4</v>
      </c>
      <c r="M607" t="str">
        <f t="shared" si="19"/>
        <v>Yes</v>
      </c>
      <c r="N607" t="str">
        <f>IF(user_behavior_dataset!$D607&lt;60,"Low",
IF(user_behavior_dataset!$D607&lt;=180,"Medium","High"))</f>
        <v>High</v>
      </c>
      <c r="O607" t="str">
        <f>IF(user_behavior_dataset!$H607&gt;=1341,"Yes","No")</f>
        <v>No</v>
      </c>
      <c r="P607" t="str">
        <f>IF(user_behavior_dataset!$F607&gt;=2229,"Yes","No")</f>
        <v>No</v>
      </c>
    </row>
    <row r="608" spans="1:16" x14ac:dyDescent="0.3">
      <c r="A608">
        <v>607</v>
      </c>
      <c r="B608" t="s">
        <v>14</v>
      </c>
      <c r="C608" t="s">
        <v>12</v>
      </c>
      <c r="D608">
        <v>580</v>
      </c>
      <c r="E608">
        <v>10.4</v>
      </c>
      <c r="F608">
        <v>2496</v>
      </c>
      <c r="G608">
        <v>81</v>
      </c>
      <c r="H608">
        <v>2441</v>
      </c>
      <c r="I608">
        <v>37</v>
      </c>
      <c r="J608" t="str">
        <f t="shared" si="18"/>
        <v>25–40</v>
      </c>
      <c r="K608" t="s">
        <v>15</v>
      </c>
      <c r="L608">
        <v>5</v>
      </c>
      <c r="M608" t="str">
        <f t="shared" si="19"/>
        <v>Yes</v>
      </c>
      <c r="N608" t="str">
        <f>IF(user_behavior_dataset!$D608&lt;60,"Low",
IF(user_behavior_dataset!$D608&lt;=180,"Medium","High"))</f>
        <v>High</v>
      </c>
      <c r="O608" t="str">
        <f>IF(user_behavior_dataset!$H608&gt;=1341,"Yes","No")</f>
        <v>Yes</v>
      </c>
      <c r="P608" t="str">
        <f>IF(user_behavior_dataset!$F608&gt;=2229,"Yes","No")</f>
        <v>Yes</v>
      </c>
    </row>
    <row r="609" spans="1:16" x14ac:dyDescent="0.3">
      <c r="A609">
        <v>608</v>
      </c>
      <c r="B609" t="s">
        <v>16</v>
      </c>
      <c r="C609" t="s">
        <v>12</v>
      </c>
      <c r="D609">
        <v>203</v>
      </c>
      <c r="E609">
        <v>4</v>
      </c>
      <c r="F609">
        <v>1323</v>
      </c>
      <c r="G609">
        <v>56</v>
      </c>
      <c r="H609">
        <v>787</v>
      </c>
      <c r="I609">
        <v>21</v>
      </c>
      <c r="J609" t="str">
        <f t="shared" si="18"/>
        <v>&lt;25</v>
      </c>
      <c r="K609" t="s">
        <v>13</v>
      </c>
      <c r="L609">
        <v>3</v>
      </c>
      <c r="M609" t="str">
        <f t="shared" si="19"/>
        <v>Yes</v>
      </c>
      <c r="N609" t="str">
        <f>IF(user_behavior_dataset!$D609&lt;60,"Low",
IF(user_behavior_dataset!$D609&lt;=180,"Medium","High"))</f>
        <v>High</v>
      </c>
      <c r="O609" t="str">
        <f>IF(user_behavior_dataset!$H609&gt;=1341,"Yes","No")</f>
        <v>No</v>
      </c>
      <c r="P609" t="str">
        <f>IF(user_behavior_dataset!$F609&gt;=2229,"Yes","No")</f>
        <v>No</v>
      </c>
    </row>
    <row r="610" spans="1:16" x14ac:dyDescent="0.3">
      <c r="A610">
        <v>609</v>
      </c>
      <c r="B610" t="s">
        <v>16</v>
      </c>
      <c r="C610" t="s">
        <v>12</v>
      </c>
      <c r="D610">
        <v>258</v>
      </c>
      <c r="E610">
        <v>4.9000000000000004</v>
      </c>
      <c r="F610">
        <v>1596</v>
      </c>
      <c r="G610">
        <v>56</v>
      </c>
      <c r="H610">
        <v>937</v>
      </c>
      <c r="I610">
        <v>40</v>
      </c>
      <c r="J610" t="str">
        <f t="shared" si="18"/>
        <v>25–40</v>
      </c>
      <c r="K610" t="s">
        <v>15</v>
      </c>
      <c r="L610">
        <v>3</v>
      </c>
      <c r="M610" t="str">
        <f t="shared" si="19"/>
        <v>Yes</v>
      </c>
      <c r="N610" t="str">
        <f>IF(user_behavior_dataset!$D610&lt;60,"Low",
IF(user_behavior_dataset!$D610&lt;=180,"Medium","High"))</f>
        <v>High</v>
      </c>
      <c r="O610" t="str">
        <f>IF(user_behavior_dataset!$H610&gt;=1341,"Yes","No")</f>
        <v>No</v>
      </c>
      <c r="P610" t="str">
        <f>IF(user_behavior_dataset!$F610&gt;=2229,"Yes","No")</f>
        <v>No</v>
      </c>
    </row>
    <row r="611" spans="1:16" x14ac:dyDescent="0.3">
      <c r="A611">
        <v>610</v>
      </c>
      <c r="B611" t="s">
        <v>17</v>
      </c>
      <c r="C611" t="s">
        <v>18</v>
      </c>
      <c r="D611">
        <v>551</v>
      </c>
      <c r="E611">
        <v>8.5</v>
      </c>
      <c r="F611">
        <v>2927</v>
      </c>
      <c r="G611">
        <v>92</v>
      </c>
      <c r="H611">
        <v>1901</v>
      </c>
      <c r="I611">
        <v>51</v>
      </c>
      <c r="J611" t="str">
        <f t="shared" si="18"/>
        <v>40+</v>
      </c>
      <c r="K611" t="s">
        <v>13</v>
      </c>
      <c r="L611">
        <v>5</v>
      </c>
      <c r="M611" t="str">
        <f t="shared" si="19"/>
        <v>Yes</v>
      </c>
      <c r="N611" t="str">
        <f>IF(user_behavior_dataset!$D611&lt;60,"Low",
IF(user_behavior_dataset!$D611&lt;=180,"Medium","High"))</f>
        <v>High</v>
      </c>
      <c r="O611" t="str">
        <f>IF(user_behavior_dataset!$H611&gt;=1341,"Yes","No")</f>
        <v>Yes</v>
      </c>
      <c r="P611" t="str">
        <f>IF(user_behavior_dataset!$F611&gt;=2229,"Yes","No")</f>
        <v>Yes</v>
      </c>
    </row>
    <row r="612" spans="1:16" x14ac:dyDescent="0.3">
      <c r="A612">
        <v>611</v>
      </c>
      <c r="B612" t="s">
        <v>17</v>
      </c>
      <c r="C612" t="s">
        <v>18</v>
      </c>
      <c r="D612">
        <v>507</v>
      </c>
      <c r="E612">
        <v>9.6</v>
      </c>
      <c r="F612">
        <v>2606</v>
      </c>
      <c r="G612">
        <v>95</v>
      </c>
      <c r="H612">
        <v>1543</v>
      </c>
      <c r="I612">
        <v>48</v>
      </c>
      <c r="J612" t="str">
        <f t="shared" si="18"/>
        <v>40+</v>
      </c>
      <c r="K612" t="s">
        <v>13</v>
      </c>
      <c r="L612">
        <v>5</v>
      </c>
      <c r="M612" t="str">
        <f t="shared" si="19"/>
        <v>Yes</v>
      </c>
      <c r="N612" t="str">
        <f>IF(user_behavior_dataset!$D612&lt;60,"Low",
IF(user_behavior_dataset!$D612&lt;=180,"Medium","High"))</f>
        <v>High</v>
      </c>
      <c r="O612" t="str">
        <f>IF(user_behavior_dataset!$H612&gt;=1341,"Yes","No")</f>
        <v>Yes</v>
      </c>
      <c r="P612" t="str">
        <f>IF(user_behavior_dataset!$F612&gt;=2229,"Yes","No")</f>
        <v>Yes</v>
      </c>
    </row>
    <row r="613" spans="1:16" x14ac:dyDescent="0.3">
      <c r="A613">
        <v>612</v>
      </c>
      <c r="B613" t="s">
        <v>16</v>
      </c>
      <c r="C613" t="s">
        <v>12</v>
      </c>
      <c r="D613">
        <v>57</v>
      </c>
      <c r="E613">
        <v>1.3</v>
      </c>
      <c r="F613">
        <v>489</v>
      </c>
      <c r="G613">
        <v>16</v>
      </c>
      <c r="H613">
        <v>131</v>
      </c>
      <c r="I613">
        <v>37</v>
      </c>
      <c r="J613" t="str">
        <f t="shared" si="18"/>
        <v>25–40</v>
      </c>
      <c r="K613" t="s">
        <v>13</v>
      </c>
      <c r="L613">
        <v>1</v>
      </c>
      <c r="M613" t="str">
        <f t="shared" si="19"/>
        <v>No</v>
      </c>
      <c r="N613" t="str">
        <f>IF(user_behavior_dataset!$D613&lt;60,"Low",
IF(user_behavior_dataset!$D613&lt;=180,"Medium","High"))</f>
        <v>Low</v>
      </c>
      <c r="O613" t="str">
        <f>IF(user_behavior_dataset!$H613&gt;=1341,"Yes","No")</f>
        <v>No</v>
      </c>
      <c r="P613" t="str">
        <f>IF(user_behavior_dataset!$F613&gt;=2229,"Yes","No")</f>
        <v>No</v>
      </c>
    </row>
    <row r="614" spans="1:16" x14ac:dyDescent="0.3">
      <c r="A614">
        <v>613</v>
      </c>
      <c r="B614" t="s">
        <v>16</v>
      </c>
      <c r="C614" t="s">
        <v>12</v>
      </c>
      <c r="D614">
        <v>553</v>
      </c>
      <c r="E614">
        <v>10.199999999999999</v>
      </c>
      <c r="F614">
        <v>2911</v>
      </c>
      <c r="G614">
        <v>82</v>
      </c>
      <c r="H614">
        <v>2441</v>
      </c>
      <c r="I614">
        <v>44</v>
      </c>
      <c r="J614" t="str">
        <f t="shared" si="18"/>
        <v>40+</v>
      </c>
      <c r="K614" t="s">
        <v>13</v>
      </c>
      <c r="L614">
        <v>5</v>
      </c>
      <c r="M614" t="str">
        <f t="shared" si="19"/>
        <v>Yes</v>
      </c>
      <c r="N614" t="str">
        <f>IF(user_behavior_dataset!$D614&lt;60,"Low",
IF(user_behavior_dataset!$D614&lt;=180,"Medium","High"))</f>
        <v>High</v>
      </c>
      <c r="O614" t="str">
        <f>IF(user_behavior_dataset!$H614&gt;=1341,"Yes","No")</f>
        <v>Yes</v>
      </c>
      <c r="P614" t="str">
        <f>IF(user_behavior_dataset!$F614&gt;=2229,"Yes","No")</f>
        <v>Yes</v>
      </c>
    </row>
    <row r="615" spans="1:16" x14ac:dyDescent="0.3">
      <c r="A615">
        <v>614</v>
      </c>
      <c r="B615" t="s">
        <v>11</v>
      </c>
      <c r="C615" t="s">
        <v>12</v>
      </c>
      <c r="D615">
        <v>49</v>
      </c>
      <c r="E615">
        <v>1.1000000000000001</v>
      </c>
      <c r="F615">
        <v>395</v>
      </c>
      <c r="G615">
        <v>16</v>
      </c>
      <c r="H615">
        <v>153</v>
      </c>
      <c r="I615">
        <v>46</v>
      </c>
      <c r="J615" t="str">
        <f t="shared" si="18"/>
        <v>40+</v>
      </c>
      <c r="K615" t="s">
        <v>15</v>
      </c>
      <c r="L615">
        <v>1</v>
      </c>
      <c r="M615" t="str">
        <f t="shared" si="19"/>
        <v>No</v>
      </c>
      <c r="N615" t="str">
        <f>IF(user_behavior_dataset!$D615&lt;60,"Low",
IF(user_behavior_dataset!$D615&lt;=180,"Medium","High"))</f>
        <v>Low</v>
      </c>
      <c r="O615" t="str">
        <f>IF(user_behavior_dataset!$H615&gt;=1341,"Yes","No")</f>
        <v>No</v>
      </c>
      <c r="P615" t="str">
        <f>IF(user_behavior_dataset!$F615&gt;=2229,"Yes","No")</f>
        <v>No</v>
      </c>
    </row>
    <row r="616" spans="1:16" x14ac:dyDescent="0.3">
      <c r="A616">
        <v>615</v>
      </c>
      <c r="B616" t="s">
        <v>19</v>
      </c>
      <c r="C616" t="s">
        <v>12</v>
      </c>
      <c r="D616">
        <v>106</v>
      </c>
      <c r="E616">
        <v>4</v>
      </c>
      <c r="F616">
        <v>1158</v>
      </c>
      <c r="G616">
        <v>23</v>
      </c>
      <c r="H616">
        <v>493</v>
      </c>
      <c r="I616">
        <v>18</v>
      </c>
      <c r="J616" t="str">
        <f t="shared" si="18"/>
        <v>&lt;25</v>
      </c>
      <c r="K616" t="s">
        <v>13</v>
      </c>
      <c r="L616">
        <v>2</v>
      </c>
      <c r="M616" t="str">
        <f t="shared" si="19"/>
        <v>Yes</v>
      </c>
      <c r="N616" t="str">
        <f>IF(user_behavior_dataset!$D616&lt;60,"Low",
IF(user_behavior_dataset!$D616&lt;=180,"Medium","High"))</f>
        <v>Medium</v>
      </c>
      <c r="O616" t="str">
        <f>IF(user_behavior_dataset!$H616&gt;=1341,"Yes","No")</f>
        <v>No</v>
      </c>
      <c r="P616" t="str">
        <f>IF(user_behavior_dataset!$F616&gt;=2229,"Yes","No")</f>
        <v>No</v>
      </c>
    </row>
    <row r="617" spans="1:16" x14ac:dyDescent="0.3">
      <c r="A617">
        <v>616</v>
      </c>
      <c r="B617" t="s">
        <v>11</v>
      </c>
      <c r="C617" t="s">
        <v>12</v>
      </c>
      <c r="D617">
        <v>119</v>
      </c>
      <c r="E617">
        <v>3.7</v>
      </c>
      <c r="F617">
        <v>608</v>
      </c>
      <c r="G617">
        <v>36</v>
      </c>
      <c r="H617">
        <v>461</v>
      </c>
      <c r="I617">
        <v>52</v>
      </c>
      <c r="J617" t="str">
        <f t="shared" si="18"/>
        <v>40+</v>
      </c>
      <c r="K617" t="s">
        <v>13</v>
      </c>
      <c r="L617">
        <v>2</v>
      </c>
      <c r="M617" t="str">
        <f t="shared" si="19"/>
        <v>Yes</v>
      </c>
      <c r="N617" t="str">
        <f>IF(user_behavior_dataset!$D617&lt;60,"Low",
IF(user_behavior_dataset!$D617&lt;=180,"Medium","High"))</f>
        <v>Medium</v>
      </c>
      <c r="O617" t="str">
        <f>IF(user_behavior_dataset!$H617&gt;=1341,"Yes","No")</f>
        <v>No</v>
      </c>
      <c r="P617" t="str">
        <f>IF(user_behavior_dataset!$F617&gt;=2229,"Yes","No")</f>
        <v>No</v>
      </c>
    </row>
    <row r="618" spans="1:16" x14ac:dyDescent="0.3">
      <c r="A618">
        <v>617</v>
      </c>
      <c r="B618" t="s">
        <v>14</v>
      </c>
      <c r="C618" t="s">
        <v>12</v>
      </c>
      <c r="D618">
        <v>288</v>
      </c>
      <c r="E618">
        <v>5.4</v>
      </c>
      <c r="F618">
        <v>1476</v>
      </c>
      <c r="G618">
        <v>49</v>
      </c>
      <c r="H618">
        <v>767</v>
      </c>
      <c r="I618">
        <v>36</v>
      </c>
      <c r="J618" t="str">
        <f t="shared" si="18"/>
        <v>25–40</v>
      </c>
      <c r="K618" t="s">
        <v>15</v>
      </c>
      <c r="L618">
        <v>3</v>
      </c>
      <c r="M618" t="str">
        <f t="shared" si="19"/>
        <v>Yes</v>
      </c>
      <c r="N618" t="str">
        <f>IF(user_behavior_dataset!$D618&lt;60,"Low",
IF(user_behavior_dataset!$D618&lt;=180,"Medium","High"))</f>
        <v>High</v>
      </c>
      <c r="O618" t="str">
        <f>IF(user_behavior_dataset!$H618&gt;=1341,"Yes","No")</f>
        <v>No</v>
      </c>
      <c r="P618" t="str">
        <f>IF(user_behavior_dataset!$F618&gt;=2229,"Yes","No")</f>
        <v>No</v>
      </c>
    </row>
    <row r="619" spans="1:16" x14ac:dyDescent="0.3">
      <c r="A619">
        <v>618</v>
      </c>
      <c r="B619" t="s">
        <v>11</v>
      </c>
      <c r="C619" t="s">
        <v>12</v>
      </c>
      <c r="D619">
        <v>225</v>
      </c>
      <c r="E619">
        <v>5.6</v>
      </c>
      <c r="F619">
        <v>1388</v>
      </c>
      <c r="G619">
        <v>55</v>
      </c>
      <c r="H619">
        <v>965</v>
      </c>
      <c r="I619">
        <v>36</v>
      </c>
      <c r="J619" t="str">
        <f t="shared" si="18"/>
        <v>25–40</v>
      </c>
      <c r="K619" t="s">
        <v>15</v>
      </c>
      <c r="L619">
        <v>3</v>
      </c>
      <c r="M619" t="str">
        <f t="shared" si="19"/>
        <v>Yes</v>
      </c>
      <c r="N619" t="str">
        <f>IF(user_behavior_dataset!$D619&lt;60,"Low",
IF(user_behavior_dataset!$D619&lt;=180,"Medium","High"))</f>
        <v>High</v>
      </c>
      <c r="O619" t="str">
        <f>IF(user_behavior_dataset!$H619&gt;=1341,"Yes","No")</f>
        <v>No</v>
      </c>
      <c r="P619" t="str">
        <f>IF(user_behavior_dataset!$F619&gt;=2229,"Yes","No")</f>
        <v>No</v>
      </c>
    </row>
    <row r="620" spans="1:16" x14ac:dyDescent="0.3">
      <c r="A620">
        <v>619</v>
      </c>
      <c r="B620" t="s">
        <v>14</v>
      </c>
      <c r="C620" t="s">
        <v>12</v>
      </c>
      <c r="D620">
        <v>342</v>
      </c>
      <c r="E620">
        <v>7</v>
      </c>
      <c r="F620">
        <v>1826</v>
      </c>
      <c r="G620">
        <v>71</v>
      </c>
      <c r="H620">
        <v>1077</v>
      </c>
      <c r="I620">
        <v>26</v>
      </c>
      <c r="J620" t="str">
        <f t="shared" si="18"/>
        <v>25–40</v>
      </c>
      <c r="K620" t="s">
        <v>15</v>
      </c>
      <c r="L620">
        <v>4</v>
      </c>
      <c r="M620" t="str">
        <f t="shared" si="19"/>
        <v>Yes</v>
      </c>
      <c r="N620" t="str">
        <f>IF(user_behavior_dataset!$D620&lt;60,"Low",
IF(user_behavior_dataset!$D620&lt;=180,"Medium","High"))</f>
        <v>High</v>
      </c>
      <c r="O620" t="str">
        <f>IF(user_behavior_dataset!$H620&gt;=1341,"Yes","No")</f>
        <v>No</v>
      </c>
      <c r="P620" t="str">
        <f>IF(user_behavior_dataset!$F620&gt;=2229,"Yes","No")</f>
        <v>No</v>
      </c>
    </row>
    <row r="621" spans="1:16" x14ac:dyDescent="0.3">
      <c r="A621">
        <v>620</v>
      </c>
      <c r="B621" t="s">
        <v>19</v>
      </c>
      <c r="C621" t="s">
        <v>12</v>
      </c>
      <c r="D621">
        <v>292</v>
      </c>
      <c r="E621">
        <v>4.2</v>
      </c>
      <c r="F621">
        <v>1407</v>
      </c>
      <c r="G621">
        <v>54</v>
      </c>
      <c r="H621">
        <v>867</v>
      </c>
      <c r="I621">
        <v>59</v>
      </c>
      <c r="J621" t="str">
        <f t="shared" si="18"/>
        <v>40+</v>
      </c>
      <c r="K621" t="s">
        <v>13</v>
      </c>
      <c r="L621">
        <v>3</v>
      </c>
      <c r="M621" t="str">
        <f t="shared" si="19"/>
        <v>Yes</v>
      </c>
      <c r="N621" t="str">
        <f>IF(user_behavior_dataset!$D621&lt;60,"Low",
IF(user_behavior_dataset!$D621&lt;=180,"Medium","High"))</f>
        <v>High</v>
      </c>
      <c r="O621" t="str">
        <f>IF(user_behavior_dataset!$H621&gt;=1341,"Yes","No")</f>
        <v>No</v>
      </c>
      <c r="P621" t="str">
        <f>IF(user_behavior_dataset!$F621&gt;=2229,"Yes","No")</f>
        <v>No</v>
      </c>
    </row>
    <row r="622" spans="1:16" x14ac:dyDescent="0.3">
      <c r="A622">
        <v>621</v>
      </c>
      <c r="B622" t="s">
        <v>17</v>
      </c>
      <c r="C622" t="s">
        <v>18</v>
      </c>
      <c r="D622">
        <v>218</v>
      </c>
      <c r="E622">
        <v>5</v>
      </c>
      <c r="F622">
        <v>1475</v>
      </c>
      <c r="G622">
        <v>46</v>
      </c>
      <c r="H622">
        <v>972</v>
      </c>
      <c r="I622">
        <v>59</v>
      </c>
      <c r="J622" t="str">
        <f t="shared" si="18"/>
        <v>40+</v>
      </c>
      <c r="K622" t="s">
        <v>15</v>
      </c>
      <c r="L622">
        <v>3</v>
      </c>
      <c r="M622" t="str">
        <f t="shared" si="19"/>
        <v>Yes</v>
      </c>
      <c r="N622" t="str">
        <f>IF(user_behavior_dataset!$D622&lt;60,"Low",
IF(user_behavior_dataset!$D622&lt;=180,"Medium","High"))</f>
        <v>High</v>
      </c>
      <c r="O622" t="str">
        <f>IF(user_behavior_dataset!$H622&gt;=1341,"Yes","No")</f>
        <v>No</v>
      </c>
      <c r="P622" t="str">
        <f>IF(user_behavior_dataset!$F622&gt;=2229,"Yes","No")</f>
        <v>No</v>
      </c>
    </row>
    <row r="623" spans="1:16" x14ac:dyDescent="0.3">
      <c r="A623">
        <v>622</v>
      </c>
      <c r="B623" t="s">
        <v>11</v>
      </c>
      <c r="C623" t="s">
        <v>12</v>
      </c>
      <c r="D623">
        <v>64</v>
      </c>
      <c r="E623">
        <v>1.8</v>
      </c>
      <c r="F623">
        <v>351</v>
      </c>
      <c r="G623">
        <v>15</v>
      </c>
      <c r="H623">
        <v>274</v>
      </c>
      <c r="I623">
        <v>56</v>
      </c>
      <c r="J623" t="str">
        <f t="shared" si="18"/>
        <v>40+</v>
      </c>
      <c r="K623" t="s">
        <v>13</v>
      </c>
      <c r="L623">
        <v>1</v>
      </c>
      <c r="M623" t="str">
        <f t="shared" si="19"/>
        <v>Yes</v>
      </c>
      <c r="N623" t="str">
        <f>IF(user_behavior_dataset!$D623&lt;60,"Low",
IF(user_behavior_dataset!$D623&lt;=180,"Medium","High"))</f>
        <v>Medium</v>
      </c>
      <c r="O623" t="str">
        <f>IF(user_behavior_dataset!$H623&gt;=1341,"Yes","No")</f>
        <v>No</v>
      </c>
      <c r="P623" t="str">
        <f>IF(user_behavior_dataset!$F623&gt;=2229,"Yes","No")</f>
        <v>No</v>
      </c>
    </row>
    <row r="624" spans="1:16" x14ac:dyDescent="0.3">
      <c r="A624">
        <v>623</v>
      </c>
      <c r="B624" t="s">
        <v>16</v>
      </c>
      <c r="C624" t="s">
        <v>12</v>
      </c>
      <c r="D624">
        <v>453</v>
      </c>
      <c r="E624">
        <v>7.4</v>
      </c>
      <c r="F624">
        <v>2363</v>
      </c>
      <c r="G624">
        <v>65</v>
      </c>
      <c r="H624">
        <v>1046</v>
      </c>
      <c r="I624">
        <v>41</v>
      </c>
      <c r="J624" t="str">
        <f t="shared" si="18"/>
        <v>40+</v>
      </c>
      <c r="K624" t="s">
        <v>15</v>
      </c>
      <c r="L624">
        <v>4</v>
      </c>
      <c r="M624" t="str">
        <f t="shared" si="19"/>
        <v>Yes</v>
      </c>
      <c r="N624" t="str">
        <f>IF(user_behavior_dataset!$D624&lt;60,"Low",
IF(user_behavior_dataset!$D624&lt;=180,"Medium","High"))</f>
        <v>High</v>
      </c>
      <c r="O624" t="str">
        <f>IF(user_behavior_dataset!$H624&gt;=1341,"Yes","No")</f>
        <v>No</v>
      </c>
      <c r="P624" t="str">
        <f>IF(user_behavior_dataset!$F624&gt;=2229,"Yes","No")</f>
        <v>Yes</v>
      </c>
    </row>
    <row r="625" spans="1:16" x14ac:dyDescent="0.3">
      <c r="A625">
        <v>624</v>
      </c>
      <c r="B625" t="s">
        <v>14</v>
      </c>
      <c r="C625" t="s">
        <v>12</v>
      </c>
      <c r="D625">
        <v>42</v>
      </c>
      <c r="E625">
        <v>1.8</v>
      </c>
      <c r="F625">
        <v>417</v>
      </c>
      <c r="G625">
        <v>15</v>
      </c>
      <c r="H625">
        <v>284</v>
      </c>
      <c r="I625">
        <v>21</v>
      </c>
      <c r="J625" t="str">
        <f t="shared" si="18"/>
        <v>&lt;25</v>
      </c>
      <c r="K625" t="s">
        <v>13</v>
      </c>
      <c r="L625">
        <v>1</v>
      </c>
      <c r="M625" t="str">
        <f t="shared" si="19"/>
        <v>No</v>
      </c>
      <c r="N625" t="str">
        <f>IF(user_behavior_dataset!$D625&lt;60,"Low",
IF(user_behavior_dataset!$D625&lt;=180,"Medium","High"))</f>
        <v>Low</v>
      </c>
      <c r="O625" t="str">
        <f>IF(user_behavior_dataset!$H625&gt;=1341,"Yes","No")</f>
        <v>No</v>
      </c>
      <c r="P625" t="str">
        <f>IF(user_behavior_dataset!$F625&gt;=2229,"Yes","No")</f>
        <v>No</v>
      </c>
    </row>
    <row r="626" spans="1:16" x14ac:dyDescent="0.3">
      <c r="A626">
        <v>625</v>
      </c>
      <c r="B626" t="s">
        <v>19</v>
      </c>
      <c r="C626" t="s">
        <v>12</v>
      </c>
      <c r="D626">
        <v>36</v>
      </c>
      <c r="E626">
        <v>1.5</v>
      </c>
      <c r="F626">
        <v>310</v>
      </c>
      <c r="G626">
        <v>15</v>
      </c>
      <c r="H626">
        <v>272</v>
      </c>
      <c r="I626">
        <v>45</v>
      </c>
      <c r="J626" t="str">
        <f t="shared" si="18"/>
        <v>40+</v>
      </c>
      <c r="K626" t="s">
        <v>13</v>
      </c>
      <c r="L626">
        <v>1</v>
      </c>
      <c r="M626" t="str">
        <f t="shared" si="19"/>
        <v>No</v>
      </c>
      <c r="N626" t="str">
        <f>IF(user_behavior_dataset!$D626&lt;60,"Low",
IF(user_behavior_dataset!$D626&lt;=180,"Medium","High"))</f>
        <v>Low</v>
      </c>
      <c r="O626" t="str">
        <f>IF(user_behavior_dataset!$H626&gt;=1341,"Yes","No")</f>
        <v>No</v>
      </c>
      <c r="P626" t="str">
        <f>IF(user_behavior_dataset!$F626&gt;=2229,"Yes","No")</f>
        <v>No</v>
      </c>
    </row>
    <row r="627" spans="1:16" x14ac:dyDescent="0.3">
      <c r="A627">
        <v>626</v>
      </c>
      <c r="B627" t="s">
        <v>14</v>
      </c>
      <c r="C627" t="s">
        <v>12</v>
      </c>
      <c r="D627">
        <v>55</v>
      </c>
      <c r="E627">
        <v>1.8</v>
      </c>
      <c r="F627">
        <v>328</v>
      </c>
      <c r="G627">
        <v>12</v>
      </c>
      <c r="H627">
        <v>196</v>
      </c>
      <c r="I627">
        <v>31</v>
      </c>
      <c r="J627" t="str">
        <f t="shared" si="18"/>
        <v>25–40</v>
      </c>
      <c r="K627" t="s">
        <v>15</v>
      </c>
      <c r="L627">
        <v>1</v>
      </c>
      <c r="M627" t="str">
        <f t="shared" si="19"/>
        <v>No</v>
      </c>
      <c r="N627" t="str">
        <f>IF(user_behavior_dataset!$D627&lt;60,"Low",
IF(user_behavior_dataset!$D627&lt;=180,"Medium","High"))</f>
        <v>Low</v>
      </c>
      <c r="O627" t="str">
        <f>IF(user_behavior_dataset!$H627&gt;=1341,"Yes","No")</f>
        <v>No</v>
      </c>
      <c r="P627" t="str">
        <f>IF(user_behavior_dataset!$F627&gt;=2229,"Yes","No")</f>
        <v>No</v>
      </c>
    </row>
    <row r="628" spans="1:16" x14ac:dyDescent="0.3">
      <c r="A628">
        <v>627</v>
      </c>
      <c r="B628" t="s">
        <v>17</v>
      </c>
      <c r="C628" t="s">
        <v>18</v>
      </c>
      <c r="D628">
        <v>210</v>
      </c>
      <c r="E628">
        <v>5</v>
      </c>
      <c r="F628">
        <v>1614</v>
      </c>
      <c r="G628">
        <v>53</v>
      </c>
      <c r="H628">
        <v>679</v>
      </c>
      <c r="I628">
        <v>55</v>
      </c>
      <c r="J628" t="str">
        <f t="shared" si="18"/>
        <v>40+</v>
      </c>
      <c r="K628" t="s">
        <v>15</v>
      </c>
      <c r="L628">
        <v>3</v>
      </c>
      <c r="M628" t="str">
        <f t="shared" si="19"/>
        <v>Yes</v>
      </c>
      <c r="N628" t="str">
        <f>IF(user_behavior_dataset!$D628&lt;60,"Low",
IF(user_behavior_dataset!$D628&lt;=180,"Medium","High"))</f>
        <v>High</v>
      </c>
      <c r="O628" t="str">
        <f>IF(user_behavior_dataset!$H628&gt;=1341,"Yes","No")</f>
        <v>No</v>
      </c>
      <c r="P628" t="str">
        <f>IF(user_behavior_dataset!$F628&gt;=2229,"Yes","No")</f>
        <v>No</v>
      </c>
    </row>
    <row r="629" spans="1:16" x14ac:dyDescent="0.3">
      <c r="A629">
        <v>628</v>
      </c>
      <c r="B629" t="s">
        <v>17</v>
      </c>
      <c r="C629" t="s">
        <v>18</v>
      </c>
      <c r="D629">
        <v>227</v>
      </c>
      <c r="E629">
        <v>5.2</v>
      </c>
      <c r="F629">
        <v>1446</v>
      </c>
      <c r="G629">
        <v>46</v>
      </c>
      <c r="H629">
        <v>920</v>
      </c>
      <c r="I629">
        <v>59</v>
      </c>
      <c r="J629" t="str">
        <f t="shared" si="18"/>
        <v>40+</v>
      </c>
      <c r="K629" t="s">
        <v>13</v>
      </c>
      <c r="L629">
        <v>3</v>
      </c>
      <c r="M629" t="str">
        <f t="shared" si="19"/>
        <v>Yes</v>
      </c>
      <c r="N629" t="str">
        <f>IF(user_behavior_dataset!$D629&lt;60,"Low",
IF(user_behavior_dataset!$D629&lt;=180,"Medium","High"))</f>
        <v>High</v>
      </c>
      <c r="O629" t="str">
        <f>IF(user_behavior_dataset!$H629&gt;=1341,"Yes","No")</f>
        <v>No</v>
      </c>
      <c r="P629" t="str">
        <f>IF(user_behavior_dataset!$F629&gt;=2229,"Yes","No")</f>
        <v>No</v>
      </c>
    </row>
    <row r="630" spans="1:16" x14ac:dyDescent="0.3">
      <c r="A630">
        <v>629</v>
      </c>
      <c r="B630" t="s">
        <v>16</v>
      </c>
      <c r="C630" t="s">
        <v>12</v>
      </c>
      <c r="D630">
        <v>47</v>
      </c>
      <c r="E630">
        <v>1.2</v>
      </c>
      <c r="F630">
        <v>437</v>
      </c>
      <c r="G630">
        <v>18</v>
      </c>
      <c r="H630">
        <v>234</v>
      </c>
      <c r="I630">
        <v>55</v>
      </c>
      <c r="J630" t="str">
        <f t="shared" si="18"/>
        <v>40+</v>
      </c>
      <c r="K630" t="s">
        <v>13</v>
      </c>
      <c r="L630">
        <v>1</v>
      </c>
      <c r="M630" t="str">
        <f t="shared" si="19"/>
        <v>No</v>
      </c>
      <c r="N630" t="str">
        <f>IF(user_behavior_dataset!$D630&lt;60,"Low",
IF(user_behavior_dataset!$D630&lt;=180,"Medium","High"))</f>
        <v>Low</v>
      </c>
      <c r="O630" t="str">
        <f>IF(user_behavior_dataset!$H630&gt;=1341,"Yes","No")</f>
        <v>No</v>
      </c>
      <c r="P630" t="str">
        <f>IF(user_behavior_dataset!$F630&gt;=2229,"Yes","No")</f>
        <v>No</v>
      </c>
    </row>
    <row r="631" spans="1:16" x14ac:dyDescent="0.3">
      <c r="A631">
        <v>630</v>
      </c>
      <c r="B631" t="s">
        <v>17</v>
      </c>
      <c r="C631" t="s">
        <v>18</v>
      </c>
      <c r="D631">
        <v>461</v>
      </c>
      <c r="E631">
        <v>6.3</v>
      </c>
      <c r="F631">
        <v>1988</v>
      </c>
      <c r="G631">
        <v>62</v>
      </c>
      <c r="H631">
        <v>1004</v>
      </c>
      <c r="I631">
        <v>21</v>
      </c>
      <c r="J631" t="str">
        <f t="shared" si="18"/>
        <v>&lt;25</v>
      </c>
      <c r="K631" t="s">
        <v>13</v>
      </c>
      <c r="L631">
        <v>4</v>
      </c>
      <c r="M631" t="str">
        <f t="shared" si="19"/>
        <v>Yes</v>
      </c>
      <c r="N631" t="str">
        <f>IF(user_behavior_dataset!$D631&lt;60,"Low",
IF(user_behavior_dataset!$D631&lt;=180,"Medium","High"))</f>
        <v>High</v>
      </c>
      <c r="O631" t="str">
        <f>IF(user_behavior_dataset!$H631&gt;=1341,"Yes","No")</f>
        <v>No</v>
      </c>
      <c r="P631" t="str">
        <f>IF(user_behavior_dataset!$F631&gt;=2229,"Yes","No")</f>
        <v>No</v>
      </c>
    </row>
    <row r="632" spans="1:16" x14ac:dyDescent="0.3">
      <c r="A632">
        <v>631</v>
      </c>
      <c r="B632" t="s">
        <v>11</v>
      </c>
      <c r="C632" t="s">
        <v>12</v>
      </c>
      <c r="D632">
        <v>94</v>
      </c>
      <c r="E632">
        <v>3.1</v>
      </c>
      <c r="F632">
        <v>1078</v>
      </c>
      <c r="G632">
        <v>38</v>
      </c>
      <c r="H632">
        <v>489</v>
      </c>
      <c r="I632">
        <v>25</v>
      </c>
      <c r="J632" t="str">
        <f t="shared" si="18"/>
        <v>25–40</v>
      </c>
      <c r="K632" t="s">
        <v>13</v>
      </c>
      <c r="L632">
        <v>2</v>
      </c>
      <c r="M632" t="str">
        <f t="shared" si="19"/>
        <v>Yes</v>
      </c>
      <c r="N632" t="str">
        <f>IF(user_behavior_dataset!$D632&lt;60,"Low",
IF(user_behavior_dataset!$D632&lt;=180,"Medium","High"))</f>
        <v>Medium</v>
      </c>
      <c r="O632" t="str">
        <f>IF(user_behavior_dataset!$H632&gt;=1341,"Yes","No")</f>
        <v>No</v>
      </c>
      <c r="P632" t="str">
        <f>IF(user_behavior_dataset!$F632&gt;=2229,"Yes","No")</f>
        <v>No</v>
      </c>
    </row>
    <row r="633" spans="1:16" x14ac:dyDescent="0.3">
      <c r="A633">
        <v>632</v>
      </c>
      <c r="B633" t="s">
        <v>19</v>
      </c>
      <c r="C633" t="s">
        <v>12</v>
      </c>
      <c r="D633">
        <v>216</v>
      </c>
      <c r="E633">
        <v>5.0999999999999996</v>
      </c>
      <c r="F633">
        <v>1483</v>
      </c>
      <c r="G633">
        <v>54</v>
      </c>
      <c r="H633">
        <v>977</v>
      </c>
      <c r="I633">
        <v>45</v>
      </c>
      <c r="J633" t="str">
        <f t="shared" si="18"/>
        <v>40+</v>
      </c>
      <c r="K633" t="s">
        <v>15</v>
      </c>
      <c r="L633">
        <v>3</v>
      </c>
      <c r="M633" t="str">
        <f t="shared" si="19"/>
        <v>Yes</v>
      </c>
      <c r="N633" t="str">
        <f>IF(user_behavior_dataset!$D633&lt;60,"Low",
IF(user_behavior_dataset!$D633&lt;=180,"Medium","High"))</f>
        <v>High</v>
      </c>
      <c r="O633" t="str">
        <f>IF(user_behavior_dataset!$H633&gt;=1341,"Yes","No")</f>
        <v>No</v>
      </c>
      <c r="P633" t="str">
        <f>IF(user_behavior_dataset!$F633&gt;=2229,"Yes","No")</f>
        <v>No</v>
      </c>
    </row>
    <row r="634" spans="1:16" x14ac:dyDescent="0.3">
      <c r="A634">
        <v>633</v>
      </c>
      <c r="B634" t="s">
        <v>17</v>
      </c>
      <c r="C634" t="s">
        <v>18</v>
      </c>
      <c r="D634">
        <v>496</v>
      </c>
      <c r="E634">
        <v>10.199999999999999</v>
      </c>
      <c r="F634">
        <v>2587</v>
      </c>
      <c r="G634">
        <v>84</v>
      </c>
      <c r="H634">
        <v>1921</v>
      </c>
      <c r="I634">
        <v>56</v>
      </c>
      <c r="J634" t="str">
        <f t="shared" si="18"/>
        <v>40+</v>
      </c>
      <c r="K634" t="s">
        <v>15</v>
      </c>
      <c r="L634">
        <v>5</v>
      </c>
      <c r="M634" t="str">
        <f t="shared" si="19"/>
        <v>Yes</v>
      </c>
      <c r="N634" t="str">
        <f>IF(user_behavior_dataset!$D634&lt;60,"Low",
IF(user_behavior_dataset!$D634&lt;=180,"Medium","High"))</f>
        <v>High</v>
      </c>
      <c r="O634" t="str">
        <f>IF(user_behavior_dataset!$H634&gt;=1341,"Yes","No")</f>
        <v>Yes</v>
      </c>
      <c r="P634" t="str">
        <f>IF(user_behavior_dataset!$F634&gt;=2229,"Yes","No")</f>
        <v>Yes</v>
      </c>
    </row>
    <row r="635" spans="1:16" x14ac:dyDescent="0.3">
      <c r="A635">
        <v>634</v>
      </c>
      <c r="B635" t="s">
        <v>14</v>
      </c>
      <c r="C635" t="s">
        <v>12</v>
      </c>
      <c r="D635">
        <v>138</v>
      </c>
      <c r="E635">
        <v>3.2</v>
      </c>
      <c r="F635">
        <v>1142</v>
      </c>
      <c r="G635">
        <v>31</v>
      </c>
      <c r="H635">
        <v>366</v>
      </c>
      <c r="I635">
        <v>29</v>
      </c>
      <c r="J635" t="str">
        <f t="shared" si="18"/>
        <v>25–40</v>
      </c>
      <c r="K635" t="s">
        <v>15</v>
      </c>
      <c r="L635">
        <v>2</v>
      </c>
      <c r="M635" t="str">
        <f t="shared" si="19"/>
        <v>Yes</v>
      </c>
      <c r="N635" t="str">
        <f>IF(user_behavior_dataset!$D635&lt;60,"Low",
IF(user_behavior_dataset!$D635&lt;=180,"Medium","High"))</f>
        <v>Medium</v>
      </c>
      <c r="O635" t="str">
        <f>IF(user_behavior_dataset!$H635&gt;=1341,"Yes","No")</f>
        <v>No</v>
      </c>
      <c r="P635" t="str">
        <f>IF(user_behavior_dataset!$F635&gt;=2229,"Yes","No")</f>
        <v>No</v>
      </c>
    </row>
    <row r="636" spans="1:16" x14ac:dyDescent="0.3">
      <c r="A636">
        <v>635</v>
      </c>
      <c r="B636" t="s">
        <v>17</v>
      </c>
      <c r="C636" t="s">
        <v>18</v>
      </c>
      <c r="D636">
        <v>318</v>
      </c>
      <c r="E636">
        <v>6.6</v>
      </c>
      <c r="F636">
        <v>2055</v>
      </c>
      <c r="G636">
        <v>67</v>
      </c>
      <c r="H636">
        <v>1253</v>
      </c>
      <c r="I636">
        <v>43</v>
      </c>
      <c r="J636" t="str">
        <f t="shared" si="18"/>
        <v>40+</v>
      </c>
      <c r="K636" t="s">
        <v>13</v>
      </c>
      <c r="L636">
        <v>4</v>
      </c>
      <c r="M636" t="str">
        <f t="shared" si="19"/>
        <v>Yes</v>
      </c>
      <c r="N636" t="str">
        <f>IF(user_behavior_dataset!$D636&lt;60,"Low",
IF(user_behavior_dataset!$D636&lt;=180,"Medium","High"))</f>
        <v>High</v>
      </c>
      <c r="O636" t="str">
        <f>IF(user_behavior_dataset!$H636&gt;=1341,"Yes","No")</f>
        <v>No</v>
      </c>
      <c r="P636" t="str">
        <f>IF(user_behavior_dataset!$F636&gt;=2229,"Yes","No")</f>
        <v>No</v>
      </c>
    </row>
    <row r="637" spans="1:16" x14ac:dyDescent="0.3">
      <c r="A637">
        <v>636</v>
      </c>
      <c r="B637" t="s">
        <v>19</v>
      </c>
      <c r="C637" t="s">
        <v>12</v>
      </c>
      <c r="D637">
        <v>96</v>
      </c>
      <c r="E637">
        <v>3.4</v>
      </c>
      <c r="F637">
        <v>1198</v>
      </c>
      <c r="G637">
        <v>39</v>
      </c>
      <c r="H637">
        <v>401</v>
      </c>
      <c r="I637">
        <v>48</v>
      </c>
      <c r="J637" t="str">
        <f t="shared" si="18"/>
        <v>40+</v>
      </c>
      <c r="K637" t="s">
        <v>15</v>
      </c>
      <c r="L637">
        <v>2</v>
      </c>
      <c r="M637" t="str">
        <f t="shared" si="19"/>
        <v>Yes</v>
      </c>
      <c r="N637" t="str">
        <f>IF(user_behavior_dataset!$D637&lt;60,"Low",
IF(user_behavior_dataset!$D637&lt;=180,"Medium","High"))</f>
        <v>Medium</v>
      </c>
      <c r="O637" t="str">
        <f>IF(user_behavior_dataset!$H637&gt;=1341,"Yes","No")</f>
        <v>No</v>
      </c>
      <c r="P637" t="str">
        <f>IF(user_behavior_dataset!$F637&gt;=2229,"Yes","No")</f>
        <v>No</v>
      </c>
    </row>
    <row r="638" spans="1:16" x14ac:dyDescent="0.3">
      <c r="A638">
        <v>637</v>
      </c>
      <c r="B638" t="s">
        <v>14</v>
      </c>
      <c r="C638" t="s">
        <v>12</v>
      </c>
      <c r="D638">
        <v>510</v>
      </c>
      <c r="E638">
        <v>10.7</v>
      </c>
      <c r="F638">
        <v>2433</v>
      </c>
      <c r="G638">
        <v>90</v>
      </c>
      <c r="H638">
        <v>1729</v>
      </c>
      <c r="I638">
        <v>47</v>
      </c>
      <c r="J638" t="str">
        <f t="shared" si="18"/>
        <v>40+</v>
      </c>
      <c r="K638" t="s">
        <v>13</v>
      </c>
      <c r="L638">
        <v>5</v>
      </c>
      <c r="M638" t="str">
        <f t="shared" si="19"/>
        <v>Yes</v>
      </c>
      <c r="N638" t="str">
        <f>IF(user_behavior_dataset!$D638&lt;60,"Low",
IF(user_behavior_dataset!$D638&lt;=180,"Medium","High"))</f>
        <v>High</v>
      </c>
      <c r="O638" t="str">
        <f>IF(user_behavior_dataset!$H638&gt;=1341,"Yes","No")</f>
        <v>Yes</v>
      </c>
      <c r="P638" t="str">
        <f>IF(user_behavior_dataset!$F638&gt;=2229,"Yes","No")</f>
        <v>Yes</v>
      </c>
    </row>
    <row r="639" spans="1:16" x14ac:dyDescent="0.3">
      <c r="A639">
        <v>638</v>
      </c>
      <c r="B639" t="s">
        <v>16</v>
      </c>
      <c r="C639" t="s">
        <v>12</v>
      </c>
      <c r="D639">
        <v>83</v>
      </c>
      <c r="E639">
        <v>1.1000000000000001</v>
      </c>
      <c r="F639">
        <v>546</v>
      </c>
      <c r="G639">
        <v>10</v>
      </c>
      <c r="H639">
        <v>289</v>
      </c>
      <c r="I639">
        <v>32</v>
      </c>
      <c r="J639" t="str">
        <f t="shared" si="18"/>
        <v>25–40</v>
      </c>
      <c r="K639" t="s">
        <v>15</v>
      </c>
      <c r="L639">
        <v>1</v>
      </c>
      <c r="M639" t="str">
        <f t="shared" si="19"/>
        <v>Yes</v>
      </c>
      <c r="N639" t="str">
        <f>IF(user_behavior_dataset!$D639&lt;60,"Low",
IF(user_behavior_dataset!$D639&lt;=180,"Medium","High"))</f>
        <v>Medium</v>
      </c>
      <c r="O639" t="str">
        <f>IF(user_behavior_dataset!$H639&gt;=1341,"Yes","No")</f>
        <v>No</v>
      </c>
      <c r="P639" t="str">
        <f>IF(user_behavior_dataset!$F639&gt;=2229,"Yes","No")</f>
        <v>No</v>
      </c>
    </row>
    <row r="640" spans="1:16" x14ac:dyDescent="0.3">
      <c r="A640">
        <v>639</v>
      </c>
      <c r="B640" t="s">
        <v>11</v>
      </c>
      <c r="C640" t="s">
        <v>12</v>
      </c>
      <c r="D640">
        <v>417</v>
      </c>
      <c r="E640">
        <v>6.2</v>
      </c>
      <c r="F640">
        <v>2074</v>
      </c>
      <c r="G640">
        <v>63</v>
      </c>
      <c r="H640">
        <v>1135</v>
      </c>
      <c r="I640">
        <v>35</v>
      </c>
      <c r="J640" t="str">
        <f t="shared" si="18"/>
        <v>25–40</v>
      </c>
      <c r="K640" t="s">
        <v>15</v>
      </c>
      <c r="L640">
        <v>4</v>
      </c>
      <c r="M640" t="str">
        <f t="shared" si="19"/>
        <v>Yes</v>
      </c>
      <c r="N640" t="str">
        <f>IF(user_behavior_dataset!$D640&lt;60,"Low",
IF(user_behavior_dataset!$D640&lt;=180,"Medium","High"))</f>
        <v>High</v>
      </c>
      <c r="O640" t="str">
        <f>IF(user_behavior_dataset!$H640&gt;=1341,"Yes","No")</f>
        <v>No</v>
      </c>
      <c r="P640" t="str">
        <f>IF(user_behavior_dataset!$F640&gt;=2229,"Yes","No")</f>
        <v>No</v>
      </c>
    </row>
    <row r="641" spans="1:16" x14ac:dyDescent="0.3">
      <c r="A641">
        <v>640</v>
      </c>
      <c r="B641" t="s">
        <v>11</v>
      </c>
      <c r="C641" t="s">
        <v>12</v>
      </c>
      <c r="D641">
        <v>538</v>
      </c>
      <c r="E641">
        <v>9.8000000000000007</v>
      </c>
      <c r="F641">
        <v>2778</v>
      </c>
      <c r="G641">
        <v>91</v>
      </c>
      <c r="H641">
        <v>2080</v>
      </c>
      <c r="I641">
        <v>35</v>
      </c>
      <c r="J641" t="str">
        <f t="shared" si="18"/>
        <v>25–40</v>
      </c>
      <c r="K641" t="s">
        <v>15</v>
      </c>
      <c r="L641">
        <v>5</v>
      </c>
      <c r="M641" t="str">
        <f t="shared" si="19"/>
        <v>Yes</v>
      </c>
      <c r="N641" t="str">
        <f>IF(user_behavior_dataset!$D641&lt;60,"Low",
IF(user_behavior_dataset!$D641&lt;=180,"Medium","High"))</f>
        <v>High</v>
      </c>
      <c r="O641" t="str">
        <f>IF(user_behavior_dataset!$H641&gt;=1341,"Yes","No")</f>
        <v>Yes</v>
      </c>
      <c r="P641" t="str">
        <f>IF(user_behavior_dataset!$F641&gt;=2229,"Yes","No")</f>
        <v>Yes</v>
      </c>
    </row>
    <row r="642" spans="1:16" x14ac:dyDescent="0.3">
      <c r="A642">
        <v>641</v>
      </c>
      <c r="B642" t="s">
        <v>19</v>
      </c>
      <c r="C642" t="s">
        <v>12</v>
      </c>
      <c r="D642">
        <v>63</v>
      </c>
      <c r="E642">
        <v>1.8</v>
      </c>
      <c r="F642">
        <v>321</v>
      </c>
      <c r="G642">
        <v>11</v>
      </c>
      <c r="H642">
        <v>271</v>
      </c>
      <c r="I642">
        <v>42</v>
      </c>
      <c r="J642" t="str">
        <f t="shared" si="18"/>
        <v>40+</v>
      </c>
      <c r="K642" t="s">
        <v>13</v>
      </c>
      <c r="L642">
        <v>1</v>
      </c>
      <c r="M642" t="str">
        <f t="shared" si="19"/>
        <v>Yes</v>
      </c>
      <c r="N642" t="str">
        <f>IF(user_behavior_dataset!$D642&lt;60,"Low",
IF(user_behavior_dataset!$D642&lt;=180,"Medium","High"))</f>
        <v>Medium</v>
      </c>
      <c r="O642" t="str">
        <f>IF(user_behavior_dataset!$H642&gt;=1341,"Yes","No")</f>
        <v>No</v>
      </c>
      <c r="P642" t="str">
        <f>IF(user_behavior_dataset!$F642&gt;=2229,"Yes","No")</f>
        <v>No</v>
      </c>
    </row>
    <row r="643" spans="1:16" x14ac:dyDescent="0.3">
      <c r="A643">
        <v>642</v>
      </c>
      <c r="B643" t="s">
        <v>14</v>
      </c>
      <c r="C643" t="s">
        <v>12</v>
      </c>
      <c r="D643">
        <v>50</v>
      </c>
      <c r="E643">
        <v>1.4</v>
      </c>
      <c r="F643">
        <v>443</v>
      </c>
      <c r="G643">
        <v>16</v>
      </c>
      <c r="H643">
        <v>255</v>
      </c>
      <c r="I643">
        <v>26</v>
      </c>
      <c r="J643" t="str">
        <f t="shared" ref="J643:J701" si="20">IF(I643="","Unknown",IF(I643&lt;25,"&lt;25",IF(I643&lt;=40,"25–40","40+")))</f>
        <v>25–40</v>
      </c>
      <c r="K643" t="s">
        <v>15</v>
      </c>
      <c r="L643">
        <v>1</v>
      </c>
      <c r="M643" t="str">
        <f t="shared" ref="M643:M701" si="21">IF(D643&gt;=60,"Yes","No")</f>
        <v>No</v>
      </c>
      <c r="N643" t="str">
        <f>IF(user_behavior_dataset!$D643&lt;60,"Low",
IF(user_behavior_dataset!$D643&lt;=180,"Medium","High"))</f>
        <v>Low</v>
      </c>
      <c r="O643" t="str">
        <f>IF(user_behavior_dataset!$H643&gt;=1341,"Yes","No")</f>
        <v>No</v>
      </c>
      <c r="P643" t="str">
        <f>IF(user_behavior_dataset!$F643&gt;=2229,"Yes","No")</f>
        <v>No</v>
      </c>
    </row>
    <row r="644" spans="1:16" x14ac:dyDescent="0.3">
      <c r="A644">
        <v>643</v>
      </c>
      <c r="B644" t="s">
        <v>11</v>
      </c>
      <c r="C644" t="s">
        <v>12</v>
      </c>
      <c r="D644">
        <v>502</v>
      </c>
      <c r="E644">
        <v>8.1999999999999993</v>
      </c>
      <c r="F644">
        <v>2597</v>
      </c>
      <c r="G644">
        <v>90</v>
      </c>
      <c r="H644">
        <v>1553</v>
      </c>
      <c r="I644">
        <v>27</v>
      </c>
      <c r="J644" t="str">
        <f t="shared" si="20"/>
        <v>25–40</v>
      </c>
      <c r="K644" t="s">
        <v>13</v>
      </c>
      <c r="L644">
        <v>5</v>
      </c>
      <c r="M644" t="str">
        <f t="shared" si="21"/>
        <v>Yes</v>
      </c>
      <c r="N644" t="str">
        <f>IF(user_behavior_dataset!$D644&lt;60,"Low",
IF(user_behavior_dataset!$D644&lt;=180,"Medium","High"))</f>
        <v>High</v>
      </c>
      <c r="O644" t="str">
        <f>IF(user_behavior_dataset!$H644&gt;=1341,"Yes","No")</f>
        <v>Yes</v>
      </c>
      <c r="P644" t="str">
        <f>IF(user_behavior_dataset!$F644&gt;=2229,"Yes","No")</f>
        <v>Yes</v>
      </c>
    </row>
    <row r="645" spans="1:16" x14ac:dyDescent="0.3">
      <c r="A645">
        <v>644</v>
      </c>
      <c r="B645" t="s">
        <v>14</v>
      </c>
      <c r="C645" t="s">
        <v>12</v>
      </c>
      <c r="D645">
        <v>105</v>
      </c>
      <c r="E645">
        <v>3.3</v>
      </c>
      <c r="F645">
        <v>723</v>
      </c>
      <c r="G645">
        <v>35</v>
      </c>
      <c r="H645">
        <v>566</v>
      </c>
      <c r="I645">
        <v>46</v>
      </c>
      <c r="J645" t="str">
        <f t="shared" si="20"/>
        <v>40+</v>
      </c>
      <c r="K645" t="s">
        <v>13</v>
      </c>
      <c r="L645">
        <v>2</v>
      </c>
      <c r="M645" t="str">
        <f t="shared" si="21"/>
        <v>Yes</v>
      </c>
      <c r="N645" t="str">
        <f>IF(user_behavior_dataset!$D645&lt;60,"Low",
IF(user_behavior_dataset!$D645&lt;=180,"Medium","High"))</f>
        <v>Medium</v>
      </c>
      <c r="O645" t="str">
        <f>IF(user_behavior_dataset!$H645&gt;=1341,"Yes","No")</f>
        <v>No</v>
      </c>
      <c r="P645" t="str">
        <f>IF(user_behavior_dataset!$F645&gt;=2229,"Yes","No")</f>
        <v>No</v>
      </c>
    </row>
    <row r="646" spans="1:16" x14ac:dyDescent="0.3">
      <c r="A646">
        <v>645</v>
      </c>
      <c r="B646" t="s">
        <v>11</v>
      </c>
      <c r="C646" t="s">
        <v>12</v>
      </c>
      <c r="D646">
        <v>186</v>
      </c>
      <c r="E646">
        <v>4.8</v>
      </c>
      <c r="F646">
        <v>1494</v>
      </c>
      <c r="G646">
        <v>53</v>
      </c>
      <c r="H646">
        <v>949</v>
      </c>
      <c r="I646">
        <v>20</v>
      </c>
      <c r="J646" t="str">
        <f t="shared" si="20"/>
        <v>&lt;25</v>
      </c>
      <c r="K646" t="s">
        <v>15</v>
      </c>
      <c r="L646">
        <v>3</v>
      </c>
      <c r="M646" t="str">
        <f t="shared" si="21"/>
        <v>Yes</v>
      </c>
      <c r="N646" t="str">
        <f>IF(user_behavior_dataset!$D646&lt;60,"Low",
IF(user_behavior_dataset!$D646&lt;=180,"Medium","High"))</f>
        <v>High</v>
      </c>
      <c r="O646" t="str">
        <f>IF(user_behavior_dataset!$H646&gt;=1341,"Yes","No")</f>
        <v>No</v>
      </c>
      <c r="P646" t="str">
        <f>IF(user_behavior_dataset!$F646&gt;=2229,"Yes","No")</f>
        <v>No</v>
      </c>
    </row>
    <row r="647" spans="1:16" x14ac:dyDescent="0.3">
      <c r="A647">
        <v>646</v>
      </c>
      <c r="B647" t="s">
        <v>16</v>
      </c>
      <c r="C647" t="s">
        <v>12</v>
      </c>
      <c r="D647">
        <v>174</v>
      </c>
      <c r="E647">
        <v>2.9</v>
      </c>
      <c r="F647">
        <v>1197</v>
      </c>
      <c r="G647">
        <v>23</v>
      </c>
      <c r="H647">
        <v>345</v>
      </c>
      <c r="I647">
        <v>20</v>
      </c>
      <c r="J647" t="str">
        <f t="shared" si="20"/>
        <v>&lt;25</v>
      </c>
      <c r="K647" t="s">
        <v>15</v>
      </c>
      <c r="L647">
        <v>2</v>
      </c>
      <c r="M647" t="str">
        <f t="shared" si="21"/>
        <v>Yes</v>
      </c>
      <c r="N647" t="str">
        <f>IF(user_behavior_dataset!$D647&lt;60,"Low",
IF(user_behavior_dataset!$D647&lt;=180,"Medium","High"))</f>
        <v>Medium</v>
      </c>
      <c r="O647" t="str">
        <f>IF(user_behavior_dataset!$H647&gt;=1341,"Yes","No")</f>
        <v>No</v>
      </c>
      <c r="P647" t="str">
        <f>IF(user_behavior_dataset!$F647&gt;=2229,"Yes","No")</f>
        <v>No</v>
      </c>
    </row>
    <row r="648" spans="1:16" x14ac:dyDescent="0.3">
      <c r="A648">
        <v>647</v>
      </c>
      <c r="B648" t="s">
        <v>19</v>
      </c>
      <c r="C648" t="s">
        <v>12</v>
      </c>
      <c r="D648">
        <v>89</v>
      </c>
      <c r="E648">
        <v>1.3</v>
      </c>
      <c r="F648">
        <v>314</v>
      </c>
      <c r="G648">
        <v>16</v>
      </c>
      <c r="H648">
        <v>201</v>
      </c>
      <c r="I648">
        <v>58</v>
      </c>
      <c r="J648" t="str">
        <f t="shared" si="20"/>
        <v>40+</v>
      </c>
      <c r="K648" t="s">
        <v>15</v>
      </c>
      <c r="L648">
        <v>1</v>
      </c>
      <c r="M648" t="str">
        <f t="shared" si="21"/>
        <v>Yes</v>
      </c>
      <c r="N648" t="str">
        <f>IF(user_behavior_dataset!$D648&lt;60,"Low",
IF(user_behavior_dataset!$D648&lt;=180,"Medium","High"))</f>
        <v>Medium</v>
      </c>
      <c r="O648" t="str">
        <f>IF(user_behavior_dataset!$H648&gt;=1341,"Yes","No")</f>
        <v>No</v>
      </c>
      <c r="P648" t="str">
        <f>IF(user_behavior_dataset!$F648&gt;=2229,"Yes","No")</f>
        <v>No</v>
      </c>
    </row>
    <row r="649" spans="1:16" x14ac:dyDescent="0.3">
      <c r="A649">
        <v>648</v>
      </c>
      <c r="B649" t="s">
        <v>17</v>
      </c>
      <c r="C649" t="s">
        <v>18</v>
      </c>
      <c r="D649">
        <v>66</v>
      </c>
      <c r="E649">
        <v>1.5</v>
      </c>
      <c r="F649">
        <v>565</v>
      </c>
      <c r="G649">
        <v>17</v>
      </c>
      <c r="H649">
        <v>283</v>
      </c>
      <c r="I649">
        <v>42</v>
      </c>
      <c r="J649" t="str">
        <f t="shared" si="20"/>
        <v>40+</v>
      </c>
      <c r="K649" t="s">
        <v>15</v>
      </c>
      <c r="L649">
        <v>1</v>
      </c>
      <c r="M649" t="str">
        <f t="shared" si="21"/>
        <v>Yes</v>
      </c>
      <c r="N649" t="str">
        <f>IF(user_behavior_dataset!$D649&lt;60,"Low",
IF(user_behavior_dataset!$D649&lt;=180,"Medium","High"))</f>
        <v>Medium</v>
      </c>
      <c r="O649" t="str">
        <f>IF(user_behavior_dataset!$H649&gt;=1341,"Yes","No")</f>
        <v>No</v>
      </c>
      <c r="P649" t="str">
        <f>IF(user_behavior_dataset!$F649&gt;=2229,"Yes","No")</f>
        <v>No</v>
      </c>
    </row>
    <row r="650" spans="1:16" x14ac:dyDescent="0.3">
      <c r="A650">
        <v>649</v>
      </c>
      <c r="B650" t="s">
        <v>17</v>
      </c>
      <c r="C650" t="s">
        <v>18</v>
      </c>
      <c r="D650">
        <v>389</v>
      </c>
      <c r="E650">
        <v>6.3</v>
      </c>
      <c r="F650">
        <v>2294</v>
      </c>
      <c r="G650">
        <v>76</v>
      </c>
      <c r="H650">
        <v>1334</v>
      </c>
      <c r="I650">
        <v>53</v>
      </c>
      <c r="J650" t="str">
        <f t="shared" si="20"/>
        <v>40+</v>
      </c>
      <c r="K650" t="s">
        <v>13</v>
      </c>
      <c r="L650">
        <v>4</v>
      </c>
      <c r="M650" t="str">
        <f t="shared" si="21"/>
        <v>Yes</v>
      </c>
      <c r="N650" t="str">
        <f>IF(user_behavior_dataset!$D650&lt;60,"Low",
IF(user_behavior_dataset!$D650&lt;=180,"Medium","High"))</f>
        <v>High</v>
      </c>
      <c r="O650" t="str">
        <f>IF(user_behavior_dataset!$H650&gt;=1341,"Yes","No")</f>
        <v>No</v>
      </c>
      <c r="P650" t="str">
        <f>IF(user_behavior_dataset!$F650&gt;=2229,"Yes","No")</f>
        <v>Yes</v>
      </c>
    </row>
    <row r="651" spans="1:16" x14ac:dyDescent="0.3">
      <c r="A651">
        <v>650</v>
      </c>
      <c r="B651" t="s">
        <v>16</v>
      </c>
      <c r="C651" t="s">
        <v>12</v>
      </c>
      <c r="D651">
        <v>186</v>
      </c>
      <c r="E651">
        <v>5.4</v>
      </c>
      <c r="F651">
        <v>1627</v>
      </c>
      <c r="G651">
        <v>58</v>
      </c>
      <c r="H651">
        <v>790</v>
      </c>
      <c r="I651">
        <v>31</v>
      </c>
      <c r="J651" t="str">
        <f t="shared" si="20"/>
        <v>25–40</v>
      </c>
      <c r="K651" t="s">
        <v>15</v>
      </c>
      <c r="L651">
        <v>3</v>
      </c>
      <c r="M651" t="str">
        <f t="shared" si="21"/>
        <v>Yes</v>
      </c>
      <c r="N651" t="str">
        <f>IF(user_behavior_dataset!$D651&lt;60,"Low",
IF(user_behavior_dataset!$D651&lt;=180,"Medium","High"))</f>
        <v>High</v>
      </c>
      <c r="O651" t="str">
        <f>IF(user_behavior_dataset!$H651&gt;=1341,"Yes","No")</f>
        <v>No</v>
      </c>
      <c r="P651" t="str">
        <f>IF(user_behavior_dataset!$F651&gt;=2229,"Yes","No")</f>
        <v>No</v>
      </c>
    </row>
    <row r="652" spans="1:16" x14ac:dyDescent="0.3">
      <c r="A652">
        <v>651</v>
      </c>
      <c r="B652" t="s">
        <v>11</v>
      </c>
      <c r="C652" t="s">
        <v>12</v>
      </c>
      <c r="D652">
        <v>149</v>
      </c>
      <c r="E652">
        <v>2</v>
      </c>
      <c r="F652">
        <v>1041</v>
      </c>
      <c r="G652">
        <v>39</v>
      </c>
      <c r="H652">
        <v>356</v>
      </c>
      <c r="I652">
        <v>49</v>
      </c>
      <c r="J652" t="str">
        <f t="shared" si="20"/>
        <v>40+</v>
      </c>
      <c r="K652" t="s">
        <v>13</v>
      </c>
      <c r="L652">
        <v>2</v>
      </c>
      <c r="M652" t="str">
        <f t="shared" si="21"/>
        <v>Yes</v>
      </c>
      <c r="N652" t="str">
        <f>IF(user_behavior_dataset!$D652&lt;60,"Low",
IF(user_behavior_dataset!$D652&lt;=180,"Medium","High"))</f>
        <v>Medium</v>
      </c>
      <c r="O652" t="str">
        <f>IF(user_behavior_dataset!$H652&gt;=1341,"Yes","No")</f>
        <v>No</v>
      </c>
      <c r="P652" t="str">
        <f>IF(user_behavior_dataset!$F652&gt;=2229,"Yes","No")</f>
        <v>No</v>
      </c>
    </row>
    <row r="653" spans="1:16" x14ac:dyDescent="0.3">
      <c r="A653">
        <v>652</v>
      </c>
      <c r="B653" t="s">
        <v>17</v>
      </c>
      <c r="C653" t="s">
        <v>18</v>
      </c>
      <c r="D653">
        <v>69</v>
      </c>
      <c r="E653">
        <v>1.7</v>
      </c>
      <c r="F653">
        <v>519</v>
      </c>
      <c r="G653">
        <v>10</v>
      </c>
      <c r="H653">
        <v>167</v>
      </c>
      <c r="I653">
        <v>51</v>
      </c>
      <c r="J653" t="str">
        <f t="shared" si="20"/>
        <v>40+</v>
      </c>
      <c r="K653" t="s">
        <v>15</v>
      </c>
      <c r="L653">
        <v>1</v>
      </c>
      <c r="M653" t="str">
        <f t="shared" si="21"/>
        <v>Yes</v>
      </c>
      <c r="N653" t="str">
        <f>IF(user_behavior_dataset!$D653&lt;60,"Low",
IF(user_behavior_dataset!$D653&lt;=180,"Medium","High"))</f>
        <v>Medium</v>
      </c>
      <c r="O653" t="str">
        <f>IF(user_behavior_dataset!$H653&gt;=1341,"Yes","No")</f>
        <v>No</v>
      </c>
      <c r="P653" t="str">
        <f>IF(user_behavior_dataset!$F653&gt;=2229,"Yes","No")</f>
        <v>No</v>
      </c>
    </row>
    <row r="654" spans="1:16" x14ac:dyDescent="0.3">
      <c r="A654">
        <v>653</v>
      </c>
      <c r="B654" t="s">
        <v>16</v>
      </c>
      <c r="C654" t="s">
        <v>12</v>
      </c>
      <c r="D654">
        <v>206</v>
      </c>
      <c r="E654">
        <v>5.2</v>
      </c>
      <c r="F654">
        <v>1632</v>
      </c>
      <c r="G654">
        <v>47</v>
      </c>
      <c r="H654">
        <v>694</v>
      </c>
      <c r="I654">
        <v>30</v>
      </c>
      <c r="J654" t="str">
        <f t="shared" si="20"/>
        <v>25–40</v>
      </c>
      <c r="K654" t="s">
        <v>13</v>
      </c>
      <c r="L654">
        <v>3</v>
      </c>
      <c r="M654" t="str">
        <f t="shared" si="21"/>
        <v>Yes</v>
      </c>
      <c r="N654" t="str">
        <f>IF(user_behavior_dataset!$D654&lt;60,"Low",
IF(user_behavior_dataset!$D654&lt;=180,"Medium","High"))</f>
        <v>High</v>
      </c>
      <c r="O654" t="str">
        <f>IF(user_behavior_dataset!$H654&gt;=1341,"Yes","No")</f>
        <v>No</v>
      </c>
      <c r="P654" t="str">
        <f>IF(user_behavior_dataset!$F654&gt;=2229,"Yes","No")</f>
        <v>No</v>
      </c>
    </row>
    <row r="655" spans="1:16" x14ac:dyDescent="0.3">
      <c r="A655">
        <v>654</v>
      </c>
      <c r="B655" t="s">
        <v>19</v>
      </c>
      <c r="C655" t="s">
        <v>12</v>
      </c>
      <c r="D655">
        <v>49</v>
      </c>
      <c r="E655">
        <v>1.2</v>
      </c>
      <c r="F655">
        <v>365</v>
      </c>
      <c r="G655">
        <v>19</v>
      </c>
      <c r="H655">
        <v>144</v>
      </c>
      <c r="I655">
        <v>29</v>
      </c>
      <c r="J655" t="str">
        <f t="shared" si="20"/>
        <v>25–40</v>
      </c>
      <c r="K655" t="s">
        <v>13</v>
      </c>
      <c r="L655">
        <v>1</v>
      </c>
      <c r="M655" t="str">
        <f t="shared" si="21"/>
        <v>No</v>
      </c>
      <c r="N655" t="str">
        <f>IF(user_behavior_dataset!$D655&lt;60,"Low",
IF(user_behavior_dataset!$D655&lt;=180,"Medium","High"))</f>
        <v>Low</v>
      </c>
      <c r="O655" t="str">
        <f>IF(user_behavior_dataset!$H655&gt;=1341,"Yes","No")</f>
        <v>No</v>
      </c>
      <c r="P655" t="str">
        <f>IF(user_behavior_dataset!$F655&gt;=2229,"Yes","No")</f>
        <v>No</v>
      </c>
    </row>
    <row r="656" spans="1:16" x14ac:dyDescent="0.3">
      <c r="A656">
        <v>655</v>
      </c>
      <c r="B656" t="s">
        <v>11</v>
      </c>
      <c r="C656" t="s">
        <v>12</v>
      </c>
      <c r="D656">
        <v>594</v>
      </c>
      <c r="E656">
        <v>10.5</v>
      </c>
      <c r="F656">
        <v>2839</v>
      </c>
      <c r="G656">
        <v>91</v>
      </c>
      <c r="H656">
        <v>1647</v>
      </c>
      <c r="I656">
        <v>56</v>
      </c>
      <c r="J656" t="str">
        <f t="shared" si="20"/>
        <v>40+</v>
      </c>
      <c r="K656" t="s">
        <v>13</v>
      </c>
      <c r="L656">
        <v>5</v>
      </c>
      <c r="M656" t="str">
        <f t="shared" si="21"/>
        <v>Yes</v>
      </c>
      <c r="N656" t="str">
        <f>IF(user_behavior_dataset!$D656&lt;60,"Low",
IF(user_behavior_dataset!$D656&lt;=180,"Medium","High"))</f>
        <v>High</v>
      </c>
      <c r="O656" t="str">
        <f>IF(user_behavior_dataset!$H656&gt;=1341,"Yes","No")</f>
        <v>Yes</v>
      </c>
      <c r="P656" t="str">
        <f>IF(user_behavior_dataset!$F656&gt;=2229,"Yes","No")</f>
        <v>Yes</v>
      </c>
    </row>
    <row r="657" spans="1:16" x14ac:dyDescent="0.3">
      <c r="A657">
        <v>656</v>
      </c>
      <c r="B657" t="s">
        <v>11</v>
      </c>
      <c r="C657" t="s">
        <v>12</v>
      </c>
      <c r="D657">
        <v>104</v>
      </c>
      <c r="E657">
        <v>3.7</v>
      </c>
      <c r="F657">
        <v>1028</v>
      </c>
      <c r="G657">
        <v>29</v>
      </c>
      <c r="H657">
        <v>493</v>
      </c>
      <c r="I657">
        <v>39</v>
      </c>
      <c r="J657" t="str">
        <f t="shared" si="20"/>
        <v>25–40</v>
      </c>
      <c r="K657" t="s">
        <v>13</v>
      </c>
      <c r="L657">
        <v>2</v>
      </c>
      <c r="M657" t="str">
        <f t="shared" si="21"/>
        <v>Yes</v>
      </c>
      <c r="N657" t="str">
        <f>IF(user_behavior_dataset!$D657&lt;60,"Low",
IF(user_behavior_dataset!$D657&lt;=180,"Medium","High"))</f>
        <v>Medium</v>
      </c>
      <c r="O657" t="str">
        <f>IF(user_behavior_dataset!$H657&gt;=1341,"Yes","No")</f>
        <v>No</v>
      </c>
      <c r="P657" t="str">
        <f>IF(user_behavior_dataset!$F657&gt;=2229,"Yes","No")</f>
        <v>No</v>
      </c>
    </row>
    <row r="658" spans="1:16" x14ac:dyDescent="0.3">
      <c r="A658">
        <v>657</v>
      </c>
      <c r="B658" t="s">
        <v>11</v>
      </c>
      <c r="C658" t="s">
        <v>12</v>
      </c>
      <c r="D658">
        <v>262</v>
      </c>
      <c r="E658">
        <v>5.6</v>
      </c>
      <c r="F658">
        <v>1489</v>
      </c>
      <c r="G658">
        <v>59</v>
      </c>
      <c r="H658">
        <v>628</v>
      </c>
      <c r="I658">
        <v>54</v>
      </c>
      <c r="J658" t="str">
        <f t="shared" si="20"/>
        <v>40+</v>
      </c>
      <c r="K658" t="s">
        <v>15</v>
      </c>
      <c r="L658">
        <v>3</v>
      </c>
      <c r="M658" t="str">
        <f t="shared" si="21"/>
        <v>Yes</v>
      </c>
      <c r="N658" t="str">
        <f>IF(user_behavior_dataset!$D658&lt;60,"Low",
IF(user_behavior_dataset!$D658&lt;=180,"Medium","High"))</f>
        <v>High</v>
      </c>
      <c r="O658" t="str">
        <f>IF(user_behavior_dataset!$H658&gt;=1341,"Yes","No")</f>
        <v>No</v>
      </c>
      <c r="P658" t="str">
        <f>IF(user_behavior_dataset!$F658&gt;=2229,"Yes","No")</f>
        <v>No</v>
      </c>
    </row>
    <row r="659" spans="1:16" x14ac:dyDescent="0.3">
      <c r="A659">
        <v>658</v>
      </c>
      <c r="B659" t="s">
        <v>16</v>
      </c>
      <c r="C659" t="s">
        <v>12</v>
      </c>
      <c r="D659">
        <v>278</v>
      </c>
      <c r="E659">
        <v>5.3</v>
      </c>
      <c r="F659">
        <v>1368</v>
      </c>
      <c r="G659">
        <v>56</v>
      </c>
      <c r="H659">
        <v>894</v>
      </c>
      <c r="I659">
        <v>40</v>
      </c>
      <c r="J659" t="str">
        <f t="shared" si="20"/>
        <v>25–40</v>
      </c>
      <c r="K659" t="s">
        <v>15</v>
      </c>
      <c r="L659">
        <v>3</v>
      </c>
      <c r="M659" t="str">
        <f t="shared" si="21"/>
        <v>Yes</v>
      </c>
      <c r="N659" t="str">
        <f>IF(user_behavior_dataset!$D659&lt;60,"Low",
IF(user_behavior_dataset!$D659&lt;=180,"Medium","High"))</f>
        <v>High</v>
      </c>
      <c r="O659" t="str">
        <f>IF(user_behavior_dataset!$H659&gt;=1341,"Yes","No")</f>
        <v>No</v>
      </c>
      <c r="P659" t="str">
        <f>IF(user_behavior_dataset!$F659&gt;=2229,"Yes","No")</f>
        <v>No</v>
      </c>
    </row>
    <row r="660" spans="1:16" x14ac:dyDescent="0.3">
      <c r="A660">
        <v>659</v>
      </c>
      <c r="B660" t="s">
        <v>16</v>
      </c>
      <c r="C660" t="s">
        <v>12</v>
      </c>
      <c r="D660">
        <v>463</v>
      </c>
      <c r="E660">
        <v>6.8</v>
      </c>
      <c r="F660">
        <v>2358</v>
      </c>
      <c r="G660">
        <v>68</v>
      </c>
      <c r="H660">
        <v>1236</v>
      </c>
      <c r="I660">
        <v>43</v>
      </c>
      <c r="J660" t="str">
        <f t="shared" si="20"/>
        <v>40+</v>
      </c>
      <c r="K660" t="s">
        <v>15</v>
      </c>
      <c r="L660">
        <v>4</v>
      </c>
      <c r="M660" t="str">
        <f t="shared" si="21"/>
        <v>Yes</v>
      </c>
      <c r="N660" t="str">
        <f>IF(user_behavior_dataset!$D660&lt;60,"Low",
IF(user_behavior_dataset!$D660&lt;=180,"Medium","High"))</f>
        <v>High</v>
      </c>
      <c r="O660" t="str">
        <f>IF(user_behavior_dataset!$H660&gt;=1341,"Yes","No")</f>
        <v>No</v>
      </c>
      <c r="P660" t="str">
        <f>IF(user_behavior_dataset!$F660&gt;=2229,"Yes","No")</f>
        <v>Yes</v>
      </c>
    </row>
    <row r="661" spans="1:16" x14ac:dyDescent="0.3">
      <c r="A661">
        <v>660</v>
      </c>
      <c r="B661" t="s">
        <v>16</v>
      </c>
      <c r="C661" t="s">
        <v>12</v>
      </c>
      <c r="D661">
        <v>505</v>
      </c>
      <c r="E661">
        <v>9.6</v>
      </c>
      <c r="F661">
        <v>2464</v>
      </c>
      <c r="G661">
        <v>91</v>
      </c>
      <c r="H661">
        <v>2375</v>
      </c>
      <c r="I661">
        <v>35</v>
      </c>
      <c r="J661" t="str">
        <f t="shared" si="20"/>
        <v>25–40</v>
      </c>
      <c r="K661" t="s">
        <v>13</v>
      </c>
      <c r="L661">
        <v>5</v>
      </c>
      <c r="M661" t="str">
        <f t="shared" si="21"/>
        <v>Yes</v>
      </c>
      <c r="N661" t="str">
        <f>IF(user_behavior_dataset!$D661&lt;60,"Low",
IF(user_behavior_dataset!$D661&lt;=180,"Medium","High"))</f>
        <v>High</v>
      </c>
      <c r="O661" t="str">
        <f>IF(user_behavior_dataset!$H661&gt;=1341,"Yes","No")</f>
        <v>Yes</v>
      </c>
      <c r="P661" t="str">
        <f>IF(user_behavior_dataset!$F661&gt;=2229,"Yes","No")</f>
        <v>Yes</v>
      </c>
    </row>
    <row r="662" spans="1:16" x14ac:dyDescent="0.3">
      <c r="A662">
        <v>661</v>
      </c>
      <c r="B662" t="s">
        <v>11</v>
      </c>
      <c r="C662" t="s">
        <v>12</v>
      </c>
      <c r="D662">
        <v>50</v>
      </c>
      <c r="E662">
        <v>1.5</v>
      </c>
      <c r="F662">
        <v>387</v>
      </c>
      <c r="G662">
        <v>12</v>
      </c>
      <c r="H662">
        <v>146</v>
      </c>
      <c r="I662">
        <v>59</v>
      </c>
      <c r="J662" t="str">
        <f t="shared" si="20"/>
        <v>40+</v>
      </c>
      <c r="K662" t="s">
        <v>13</v>
      </c>
      <c r="L662">
        <v>1</v>
      </c>
      <c r="M662" t="str">
        <f t="shared" si="21"/>
        <v>No</v>
      </c>
      <c r="N662" t="str">
        <f>IF(user_behavior_dataset!$D662&lt;60,"Low",
IF(user_behavior_dataset!$D662&lt;=180,"Medium","High"))</f>
        <v>Low</v>
      </c>
      <c r="O662" t="str">
        <f>IF(user_behavior_dataset!$H662&gt;=1341,"Yes","No")</f>
        <v>No</v>
      </c>
      <c r="P662" t="str">
        <f>IF(user_behavior_dataset!$F662&gt;=2229,"Yes","No")</f>
        <v>No</v>
      </c>
    </row>
    <row r="663" spans="1:16" x14ac:dyDescent="0.3">
      <c r="A663">
        <v>662</v>
      </c>
      <c r="B663" t="s">
        <v>16</v>
      </c>
      <c r="C663" t="s">
        <v>12</v>
      </c>
      <c r="D663">
        <v>138</v>
      </c>
      <c r="E663">
        <v>3.1</v>
      </c>
      <c r="F663">
        <v>947</v>
      </c>
      <c r="G663">
        <v>29</v>
      </c>
      <c r="H663">
        <v>545</v>
      </c>
      <c r="I663">
        <v>48</v>
      </c>
      <c r="J663" t="str">
        <f t="shared" si="20"/>
        <v>40+</v>
      </c>
      <c r="K663" t="s">
        <v>13</v>
      </c>
      <c r="L663">
        <v>2</v>
      </c>
      <c r="M663" t="str">
        <f t="shared" si="21"/>
        <v>Yes</v>
      </c>
      <c r="N663" t="str">
        <f>IF(user_behavior_dataset!$D663&lt;60,"Low",
IF(user_behavior_dataset!$D663&lt;=180,"Medium","High"))</f>
        <v>Medium</v>
      </c>
      <c r="O663" t="str">
        <f>IF(user_behavior_dataset!$H663&gt;=1341,"Yes","No")</f>
        <v>No</v>
      </c>
      <c r="P663" t="str">
        <f>IF(user_behavior_dataset!$F663&gt;=2229,"Yes","No")</f>
        <v>No</v>
      </c>
    </row>
    <row r="664" spans="1:16" x14ac:dyDescent="0.3">
      <c r="A664">
        <v>663</v>
      </c>
      <c r="B664" t="s">
        <v>16</v>
      </c>
      <c r="C664" t="s">
        <v>12</v>
      </c>
      <c r="D664">
        <v>130</v>
      </c>
      <c r="E664">
        <v>3.2</v>
      </c>
      <c r="F664">
        <v>1189</v>
      </c>
      <c r="G664">
        <v>37</v>
      </c>
      <c r="H664">
        <v>448</v>
      </c>
      <c r="I664">
        <v>45</v>
      </c>
      <c r="J664" t="str">
        <f t="shared" si="20"/>
        <v>40+</v>
      </c>
      <c r="K664" t="s">
        <v>13</v>
      </c>
      <c r="L664">
        <v>2</v>
      </c>
      <c r="M664" t="str">
        <f t="shared" si="21"/>
        <v>Yes</v>
      </c>
      <c r="N664" t="str">
        <f>IF(user_behavior_dataset!$D664&lt;60,"Low",
IF(user_behavior_dataset!$D664&lt;=180,"Medium","High"))</f>
        <v>Medium</v>
      </c>
      <c r="O664" t="str">
        <f>IF(user_behavior_dataset!$H664&gt;=1341,"Yes","No")</f>
        <v>No</v>
      </c>
      <c r="P664" t="str">
        <f>IF(user_behavior_dataset!$F664&gt;=2229,"Yes","No")</f>
        <v>No</v>
      </c>
    </row>
    <row r="665" spans="1:16" x14ac:dyDescent="0.3">
      <c r="A665">
        <v>664</v>
      </c>
      <c r="B665" t="s">
        <v>11</v>
      </c>
      <c r="C665" t="s">
        <v>12</v>
      </c>
      <c r="D665">
        <v>469</v>
      </c>
      <c r="E665">
        <v>6.4</v>
      </c>
      <c r="F665">
        <v>1858</v>
      </c>
      <c r="G665">
        <v>78</v>
      </c>
      <c r="H665">
        <v>1297</v>
      </c>
      <c r="I665">
        <v>55</v>
      </c>
      <c r="J665" t="str">
        <f t="shared" si="20"/>
        <v>40+</v>
      </c>
      <c r="K665" t="s">
        <v>15</v>
      </c>
      <c r="L665">
        <v>4</v>
      </c>
      <c r="M665" t="str">
        <f t="shared" si="21"/>
        <v>Yes</v>
      </c>
      <c r="N665" t="str">
        <f>IF(user_behavior_dataset!$D665&lt;60,"Low",
IF(user_behavior_dataset!$D665&lt;=180,"Medium","High"))</f>
        <v>High</v>
      </c>
      <c r="O665" t="str">
        <f>IF(user_behavior_dataset!$H665&gt;=1341,"Yes","No")</f>
        <v>No</v>
      </c>
      <c r="P665" t="str">
        <f>IF(user_behavior_dataset!$F665&gt;=2229,"Yes","No")</f>
        <v>No</v>
      </c>
    </row>
    <row r="666" spans="1:16" x14ac:dyDescent="0.3">
      <c r="A666">
        <v>665</v>
      </c>
      <c r="B666" t="s">
        <v>16</v>
      </c>
      <c r="C666" t="s">
        <v>12</v>
      </c>
      <c r="D666">
        <v>555</v>
      </c>
      <c r="E666">
        <v>10.3</v>
      </c>
      <c r="F666">
        <v>2568</v>
      </c>
      <c r="G666">
        <v>83</v>
      </c>
      <c r="H666">
        <v>2003</v>
      </c>
      <c r="I666">
        <v>52</v>
      </c>
      <c r="J666" t="str">
        <f t="shared" si="20"/>
        <v>40+</v>
      </c>
      <c r="K666" t="s">
        <v>13</v>
      </c>
      <c r="L666">
        <v>5</v>
      </c>
      <c r="M666" t="str">
        <f t="shared" si="21"/>
        <v>Yes</v>
      </c>
      <c r="N666" t="str">
        <f>IF(user_behavior_dataset!$D666&lt;60,"Low",
IF(user_behavior_dataset!$D666&lt;=180,"Medium","High"))</f>
        <v>High</v>
      </c>
      <c r="O666" t="str">
        <f>IF(user_behavior_dataset!$H666&gt;=1341,"Yes","No")</f>
        <v>Yes</v>
      </c>
      <c r="P666" t="str">
        <f>IF(user_behavior_dataset!$F666&gt;=2229,"Yes","No")</f>
        <v>Yes</v>
      </c>
    </row>
    <row r="667" spans="1:16" x14ac:dyDescent="0.3">
      <c r="A667">
        <v>666</v>
      </c>
      <c r="B667" t="s">
        <v>17</v>
      </c>
      <c r="C667" t="s">
        <v>18</v>
      </c>
      <c r="D667">
        <v>198</v>
      </c>
      <c r="E667">
        <v>5.4</v>
      </c>
      <c r="F667">
        <v>1544</v>
      </c>
      <c r="G667">
        <v>53</v>
      </c>
      <c r="H667">
        <v>635</v>
      </c>
      <c r="I667">
        <v>53</v>
      </c>
      <c r="J667" t="str">
        <f t="shared" si="20"/>
        <v>40+</v>
      </c>
      <c r="K667" t="s">
        <v>13</v>
      </c>
      <c r="L667">
        <v>3</v>
      </c>
      <c r="M667" t="str">
        <f t="shared" si="21"/>
        <v>Yes</v>
      </c>
      <c r="N667" t="str">
        <f>IF(user_behavior_dataset!$D667&lt;60,"Low",
IF(user_behavior_dataset!$D667&lt;=180,"Medium","High"))</f>
        <v>High</v>
      </c>
      <c r="O667" t="str">
        <f>IF(user_behavior_dataset!$H667&gt;=1341,"Yes","No")</f>
        <v>No</v>
      </c>
      <c r="P667" t="str">
        <f>IF(user_behavior_dataset!$F667&gt;=2229,"Yes","No")</f>
        <v>No</v>
      </c>
    </row>
    <row r="668" spans="1:16" x14ac:dyDescent="0.3">
      <c r="A668">
        <v>667</v>
      </c>
      <c r="B668" t="s">
        <v>19</v>
      </c>
      <c r="C668" t="s">
        <v>12</v>
      </c>
      <c r="D668">
        <v>529</v>
      </c>
      <c r="E668">
        <v>11.4</v>
      </c>
      <c r="F668">
        <v>2891</v>
      </c>
      <c r="G668">
        <v>82</v>
      </c>
      <c r="H668">
        <v>1845</v>
      </c>
      <c r="I668">
        <v>46</v>
      </c>
      <c r="J668" t="str">
        <f t="shared" si="20"/>
        <v>40+</v>
      </c>
      <c r="K668" t="s">
        <v>13</v>
      </c>
      <c r="L668">
        <v>5</v>
      </c>
      <c r="M668" t="str">
        <f t="shared" si="21"/>
        <v>Yes</v>
      </c>
      <c r="N668" t="str">
        <f>IF(user_behavior_dataset!$D668&lt;60,"Low",
IF(user_behavior_dataset!$D668&lt;=180,"Medium","High"))</f>
        <v>High</v>
      </c>
      <c r="O668" t="str">
        <f>IF(user_behavior_dataset!$H668&gt;=1341,"Yes","No")</f>
        <v>Yes</v>
      </c>
      <c r="P668" t="str">
        <f>IF(user_behavior_dataset!$F668&gt;=2229,"Yes","No")</f>
        <v>Yes</v>
      </c>
    </row>
    <row r="669" spans="1:16" x14ac:dyDescent="0.3">
      <c r="A669">
        <v>668</v>
      </c>
      <c r="B669" t="s">
        <v>19</v>
      </c>
      <c r="C669" t="s">
        <v>12</v>
      </c>
      <c r="D669">
        <v>205</v>
      </c>
      <c r="E669">
        <v>5.5</v>
      </c>
      <c r="F669">
        <v>1699</v>
      </c>
      <c r="G669">
        <v>49</v>
      </c>
      <c r="H669">
        <v>729</v>
      </c>
      <c r="I669">
        <v>36</v>
      </c>
      <c r="J669" t="str">
        <f t="shared" si="20"/>
        <v>25–40</v>
      </c>
      <c r="K669" t="s">
        <v>13</v>
      </c>
      <c r="L669">
        <v>3</v>
      </c>
      <c r="M669" t="str">
        <f t="shared" si="21"/>
        <v>Yes</v>
      </c>
      <c r="N669" t="str">
        <f>IF(user_behavior_dataset!$D669&lt;60,"Low",
IF(user_behavior_dataset!$D669&lt;=180,"Medium","High"))</f>
        <v>High</v>
      </c>
      <c r="O669" t="str">
        <f>IF(user_behavior_dataset!$H669&gt;=1341,"Yes","No")</f>
        <v>No</v>
      </c>
      <c r="P669" t="str">
        <f>IF(user_behavior_dataset!$F669&gt;=2229,"Yes","No")</f>
        <v>No</v>
      </c>
    </row>
    <row r="670" spans="1:16" x14ac:dyDescent="0.3">
      <c r="A670">
        <v>669</v>
      </c>
      <c r="B670" t="s">
        <v>17</v>
      </c>
      <c r="C670" t="s">
        <v>18</v>
      </c>
      <c r="D670">
        <v>170</v>
      </c>
      <c r="E670">
        <v>2.4</v>
      </c>
      <c r="F670">
        <v>1039</v>
      </c>
      <c r="G670">
        <v>38</v>
      </c>
      <c r="H670">
        <v>334</v>
      </c>
      <c r="I670">
        <v>23</v>
      </c>
      <c r="J670" t="str">
        <f t="shared" si="20"/>
        <v>&lt;25</v>
      </c>
      <c r="K670" t="s">
        <v>13</v>
      </c>
      <c r="L670">
        <v>2</v>
      </c>
      <c r="M670" t="str">
        <f t="shared" si="21"/>
        <v>Yes</v>
      </c>
      <c r="N670" t="str">
        <f>IF(user_behavior_dataset!$D670&lt;60,"Low",
IF(user_behavior_dataset!$D670&lt;=180,"Medium","High"))</f>
        <v>Medium</v>
      </c>
      <c r="O670" t="str">
        <f>IF(user_behavior_dataset!$H670&gt;=1341,"Yes","No")</f>
        <v>No</v>
      </c>
      <c r="P670" t="str">
        <f>IF(user_behavior_dataset!$F670&gt;=2229,"Yes","No")</f>
        <v>No</v>
      </c>
    </row>
    <row r="671" spans="1:16" x14ac:dyDescent="0.3">
      <c r="A671">
        <v>670</v>
      </c>
      <c r="B671" t="s">
        <v>19</v>
      </c>
      <c r="C671" t="s">
        <v>12</v>
      </c>
      <c r="D671">
        <v>160</v>
      </c>
      <c r="E671">
        <v>3.2</v>
      </c>
      <c r="F671">
        <v>648</v>
      </c>
      <c r="G671">
        <v>31</v>
      </c>
      <c r="H671">
        <v>339</v>
      </c>
      <c r="I671">
        <v>27</v>
      </c>
      <c r="J671" t="str">
        <f t="shared" si="20"/>
        <v>25–40</v>
      </c>
      <c r="K671" t="s">
        <v>15</v>
      </c>
      <c r="L671">
        <v>2</v>
      </c>
      <c r="M671" t="str">
        <f t="shared" si="21"/>
        <v>Yes</v>
      </c>
      <c r="N671" t="str">
        <f>IF(user_behavior_dataset!$D671&lt;60,"Low",
IF(user_behavior_dataset!$D671&lt;=180,"Medium","High"))</f>
        <v>Medium</v>
      </c>
      <c r="O671" t="str">
        <f>IF(user_behavior_dataset!$H671&gt;=1341,"Yes","No")</f>
        <v>No</v>
      </c>
      <c r="P671" t="str">
        <f>IF(user_behavior_dataset!$F671&gt;=2229,"Yes","No")</f>
        <v>No</v>
      </c>
    </row>
    <row r="672" spans="1:16" x14ac:dyDescent="0.3">
      <c r="A672">
        <v>671</v>
      </c>
      <c r="B672" t="s">
        <v>17</v>
      </c>
      <c r="C672" t="s">
        <v>18</v>
      </c>
      <c r="D672">
        <v>81</v>
      </c>
      <c r="E672">
        <v>1.6</v>
      </c>
      <c r="F672">
        <v>387</v>
      </c>
      <c r="G672">
        <v>13</v>
      </c>
      <c r="H672">
        <v>224</v>
      </c>
      <c r="I672">
        <v>48</v>
      </c>
      <c r="J672" t="str">
        <f t="shared" si="20"/>
        <v>40+</v>
      </c>
      <c r="K672" t="s">
        <v>13</v>
      </c>
      <c r="L672">
        <v>1</v>
      </c>
      <c r="M672" t="str">
        <f t="shared" si="21"/>
        <v>Yes</v>
      </c>
      <c r="N672" t="str">
        <f>IF(user_behavior_dataset!$D672&lt;60,"Low",
IF(user_behavior_dataset!$D672&lt;=180,"Medium","High"))</f>
        <v>Medium</v>
      </c>
      <c r="O672" t="str">
        <f>IF(user_behavior_dataset!$H672&gt;=1341,"Yes","No")</f>
        <v>No</v>
      </c>
      <c r="P672" t="str">
        <f>IF(user_behavior_dataset!$F672&gt;=2229,"Yes","No")</f>
        <v>No</v>
      </c>
    </row>
    <row r="673" spans="1:16" x14ac:dyDescent="0.3">
      <c r="A673">
        <v>672</v>
      </c>
      <c r="B673" t="s">
        <v>11</v>
      </c>
      <c r="C673" t="s">
        <v>12</v>
      </c>
      <c r="D673">
        <v>468</v>
      </c>
      <c r="E673">
        <v>7.3</v>
      </c>
      <c r="F673">
        <v>1937</v>
      </c>
      <c r="G673">
        <v>64</v>
      </c>
      <c r="H673">
        <v>1209</v>
      </c>
      <c r="I673">
        <v>22</v>
      </c>
      <c r="J673" t="str">
        <f t="shared" si="20"/>
        <v>&lt;25</v>
      </c>
      <c r="K673" t="s">
        <v>13</v>
      </c>
      <c r="L673">
        <v>4</v>
      </c>
      <c r="M673" t="str">
        <f t="shared" si="21"/>
        <v>Yes</v>
      </c>
      <c r="N673" t="str">
        <f>IF(user_behavior_dataset!$D673&lt;60,"Low",
IF(user_behavior_dataset!$D673&lt;=180,"Medium","High"))</f>
        <v>High</v>
      </c>
      <c r="O673" t="str">
        <f>IF(user_behavior_dataset!$H673&gt;=1341,"Yes","No")</f>
        <v>No</v>
      </c>
      <c r="P673" t="str">
        <f>IF(user_behavior_dataset!$F673&gt;=2229,"Yes","No")</f>
        <v>No</v>
      </c>
    </row>
    <row r="674" spans="1:16" x14ac:dyDescent="0.3">
      <c r="A674">
        <v>673</v>
      </c>
      <c r="B674" t="s">
        <v>16</v>
      </c>
      <c r="C674" t="s">
        <v>12</v>
      </c>
      <c r="D674">
        <v>500</v>
      </c>
      <c r="E674">
        <v>11.2</v>
      </c>
      <c r="F674">
        <v>2925</v>
      </c>
      <c r="G674">
        <v>84</v>
      </c>
      <c r="H674">
        <v>2438</v>
      </c>
      <c r="I674">
        <v>27</v>
      </c>
      <c r="J674" t="str">
        <f t="shared" si="20"/>
        <v>25–40</v>
      </c>
      <c r="K674" t="s">
        <v>13</v>
      </c>
      <c r="L674">
        <v>5</v>
      </c>
      <c r="M674" t="str">
        <f t="shared" si="21"/>
        <v>Yes</v>
      </c>
      <c r="N674" t="str">
        <f>IF(user_behavior_dataset!$D674&lt;60,"Low",
IF(user_behavior_dataset!$D674&lt;=180,"Medium","High"))</f>
        <v>High</v>
      </c>
      <c r="O674" t="str">
        <f>IF(user_behavior_dataset!$H674&gt;=1341,"Yes","No")</f>
        <v>Yes</v>
      </c>
      <c r="P674" t="str">
        <f>IF(user_behavior_dataset!$F674&gt;=2229,"Yes","No")</f>
        <v>Yes</v>
      </c>
    </row>
    <row r="675" spans="1:16" x14ac:dyDescent="0.3">
      <c r="A675">
        <v>674</v>
      </c>
      <c r="B675" t="s">
        <v>11</v>
      </c>
      <c r="C675" t="s">
        <v>12</v>
      </c>
      <c r="D675">
        <v>37</v>
      </c>
      <c r="E675">
        <v>1.6</v>
      </c>
      <c r="F675">
        <v>490</v>
      </c>
      <c r="G675">
        <v>18</v>
      </c>
      <c r="H675">
        <v>216</v>
      </c>
      <c r="I675">
        <v>52</v>
      </c>
      <c r="J675" t="str">
        <f t="shared" si="20"/>
        <v>40+</v>
      </c>
      <c r="K675" t="s">
        <v>13</v>
      </c>
      <c r="L675">
        <v>1</v>
      </c>
      <c r="M675" t="str">
        <f t="shared" si="21"/>
        <v>No</v>
      </c>
      <c r="N675" t="str">
        <f>IF(user_behavior_dataset!$D675&lt;60,"Low",
IF(user_behavior_dataset!$D675&lt;=180,"Medium","High"))</f>
        <v>Low</v>
      </c>
      <c r="O675" t="str">
        <f>IF(user_behavior_dataset!$H675&gt;=1341,"Yes","No")</f>
        <v>No</v>
      </c>
      <c r="P675" t="str">
        <f>IF(user_behavior_dataset!$F675&gt;=2229,"Yes","No")</f>
        <v>No</v>
      </c>
    </row>
    <row r="676" spans="1:16" x14ac:dyDescent="0.3">
      <c r="A676">
        <v>675</v>
      </c>
      <c r="B676" t="s">
        <v>16</v>
      </c>
      <c r="C676" t="s">
        <v>12</v>
      </c>
      <c r="D676">
        <v>522</v>
      </c>
      <c r="E676">
        <v>11.4</v>
      </c>
      <c r="F676">
        <v>2776</v>
      </c>
      <c r="G676">
        <v>93</v>
      </c>
      <c r="H676">
        <v>1768</v>
      </c>
      <c r="I676">
        <v>27</v>
      </c>
      <c r="J676" t="str">
        <f t="shared" si="20"/>
        <v>25–40</v>
      </c>
      <c r="K676" t="s">
        <v>15</v>
      </c>
      <c r="L676">
        <v>5</v>
      </c>
      <c r="M676" t="str">
        <f t="shared" si="21"/>
        <v>Yes</v>
      </c>
      <c r="N676" t="str">
        <f>IF(user_behavior_dataset!$D676&lt;60,"Low",
IF(user_behavior_dataset!$D676&lt;=180,"Medium","High"))</f>
        <v>High</v>
      </c>
      <c r="O676" t="str">
        <f>IF(user_behavior_dataset!$H676&gt;=1341,"Yes","No")</f>
        <v>Yes</v>
      </c>
      <c r="P676" t="str">
        <f>IF(user_behavior_dataset!$F676&gt;=2229,"Yes","No")</f>
        <v>Yes</v>
      </c>
    </row>
    <row r="677" spans="1:16" x14ac:dyDescent="0.3">
      <c r="A677">
        <v>676</v>
      </c>
      <c r="B677" t="s">
        <v>16</v>
      </c>
      <c r="C677" t="s">
        <v>12</v>
      </c>
      <c r="D677">
        <v>81</v>
      </c>
      <c r="E677">
        <v>1.5</v>
      </c>
      <c r="F677">
        <v>545</v>
      </c>
      <c r="G677">
        <v>17</v>
      </c>
      <c r="H677">
        <v>159</v>
      </c>
      <c r="I677">
        <v>40</v>
      </c>
      <c r="J677" t="str">
        <f t="shared" si="20"/>
        <v>25–40</v>
      </c>
      <c r="K677" t="s">
        <v>13</v>
      </c>
      <c r="L677">
        <v>1</v>
      </c>
      <c r="M677" t="str">
        <f t="shared" si="21"/>
        <v>Yes</v>
      </c>
      <c r="N677" t="str">
        <f>IF(user_behavior_dataset!$D677&lt;60,"Low",
IF(user_behavior_dataset!$D677&lt;=180,"Medium","High"))</f>
        <v>Medium</v>
      </c>
      <c r="O677" t="str">
        <f>IF(user_behavior_dataset!$H677&gt;=1341,"Yes","No")</f>
        <v>No</v>
      </c>
      <c r="P677" t="str">
        <f>IF(user_behavior_dataset!$F677&gt;=2229,"Yes","No")</f>
        <v>No</v>
      </c>
    </row>
    <row r="678" spans="1:16" x14ac:dyDescent="0.3">
      <c r="A678">
        <v>677</v>
      </c>
      <c r="B678" t="s">
        <v>14</v>
      </c>
      <c r="C678" t="s">
        <v>12</v>
      </c>
      <c r="D678">
        <v>141</v>
      </c>
      <c r="E678">
        <v>3.8</v>
      </c>
      <c r="F678">
        <v>689</v>
      </c>
      <c r="G678">
        <v>38</v>
      </c>
      <c r="H678">
        <v>576</v>
      </c>
      <c r="I678">
        <v>34</v>
      </c>
      <c r="J678" t="str">
        <f t="shared" si="20"/>
        <v>25–40</v>
      </c>
      <c r="K678" t="s">
        <v>13</v>
      </c>
      <c r="L678">
        <v>2</v>
      </c>
      <c r="M678" t="str">
        <f t="shared" si="21"/>
        <v>Yes</v>
      </c>
      <c r="N678" t="str">
        <f>IF(user_behavior_dataset!$D678&lt;60,"Low",
IF(user_behavior_dataset!$D678&lt;=180,"Medium","High"))</f>
        <v>Medium</v>
      </c>
      <c r="O678" t="str">
        <f>IF(user_behavior_dataset!$H678&gt;=1341,"Yes","No")</f>
        <v>No</v>
      </c>
      <c r="P678" t="str">
        <f>IF(user_behavior_dataset!$F678&gt;=2229,"Yes","No")</f>
        <v>No</v>
      </c>
    </row>
    <row r="679" spans="1:16" x14ac:dyDescent="0.3">
      <c r="A679">
        <v>678</v>
      </c>
      <c r="B679" t="s">
        <v>19</v>
      </c>
      <c r="C679" t="s">
        <v>12</v>
      </c>
      <c r="D679">
        <v>115</v>
      </c>
      <c r="E679">
        <v>3.5</v>
      </c>
      <c r="F679">
        <v>706</v>
      </c>
      <c r="G679">
        <v>26</v>
      </c>
      <c r="H679">
        <v>495</v>
      </c>
      <c r="I679">
        <v>52</v>
      </c>
      <c r="J679" t="str">
        <f t="shared" si="20"/>
        <v>40+</v>
      </c>
      <c r="K679" t="s">
        <v>15</v>
      </c>
      <c r="L679">
        <v>2</v>
      </c>
      <c r="M679" t="str">
        <f t="shared" si="21"/>
        <v>Yes</v>
      </c>
      <c r="N679" t="str">
        <f>IF(user_behavior_dataset!$D679&lt;60,"Low",
IF(user_behavior_dataset!$D679&lt;=180,"Medium","High"))</f>
        <v>Medium</v>
      </c>
      <c r="O679" t="str">
        <f>IF(user_behavior_dataset!$H679&gt;=1341,"Yes","No")</f>
        <v>No</v>
      </c>
      <c r="P679" t="str">
        <f>IF(user_behavior_dataset!$F679&gt;=2229,"Yes","No")</f>
        <v>No</v>
      </c>
    </row>
    <row r="680" spans="1:16" x14ac:dyDescent="0.3">
      <c r="A680">
        <v>679</v>
      </c>
      <c r="B680" t="s">
        <v>11</v>
      </c>
      <c r="C680" t="s">
        <v>12</v>
      </c>
      <c r="D680">
        <v>298</v>
      </c>
      <c r="E680">
        <v>4.5999999999999996</v>
      </c>
      <c r="F680">
        <v>1525</v>
      </c>
      <c r="G680">
        <v>59</v>
      </c>
      <c r="H680">
        <v>814</v>
      </c>
      <c r="I680">
        <v>36</v>
      </c>
      <c r="J680" t="str">
        <f t="shared" si="20"/>
        <v>25–40</v>
      </c>
      <c r="K680" t="s">
        <v>15</v>
      </c>
      <c r="L680">
        <v>3</v>
      </c>
      <c r="M680" t="str">
        <f t="shared" si="21"/>
        <v>Yes</v>
      </c>
      <c r="N680" t="str">
        <f>IF(user_behavior_dataset!$D680&lt;60,"Low",
IF(user_behavior_dataset!$D680&lt;=180,"Medium","High"))</f>
        <v>High</v>
      </c>
      <c r="O680" t="str">
        <f>IF(user_behavior_dataset!$H680&gt;=1341,"Yes","No")</f>
        <v>No</v>
      </c>
      <c r="P680" t="str">
        <f>IF(user_behavior_dataset!$F680&gt;=2229,"Yes","No")</f>
        <v>No</v>
      </c>
    </row>
    <row r="681" spans="1:16" x14ac:dyDescent="0.3">
      <c r="A681">
        <v>680</v>
      </c>
      <c r="B681" t="s">
        <v>17</v>
      </c>
      <c r="C681" t="s">
        <v>18</v>
      </c>
      <c r="D681">
        <v>33</v>
      </c>
      <c r="E681">
        <v>1.8</v>
      </c>
      <c r="F681">
        <v>334</v>
      </c>
      <c r="G681">
        <v>16</v>
      </c>
      <c r="H681">
        <v>113</v>
      </c>
      <c r="I681">
        <v>36</v>
      </c>
      <c r="J681" t="str">
        <f t="shared" si="20"/>
        <v>25–40</v>
      </c>
      <c r="K681" t="s">
        <v>15</v>
      </c>
      <c r="L681">
        <v>1</v>
      </c>
      <c r="M681" t="str">
        <f t="shared" si="21"/>
        <v>No</v>
      </c>
      <c r="N681" t="str">
        <f>IF(user_behavior_dataset!$D681&lt;60,"Low",
IF(user_behavior_dataset!$D681&lt;=180,"Medium","High"))</f>
        <v>Low</v>
      </c>
      <c r="O681" t="str">
        <f>IF(user_behavior_dataset!$H681&gt;=1341,"Yes","No")</f>
        <v>No</v>
      </c>
      <c r="P681" t="str">
        <f>IF(user_behavior_dataset!$F681&gt;=2229,"Yes","No")</f>
        <v>No</v>
      </c>
    </row>
    <row r="682" spans="1:16" x14ac:dyDescent="0.3">
      <c r="A682">
        <v>681</v>
      </c>
      <c r="B682" t="s">
        <v>11</v>
      </c>
      <c r="C682" t="s">
        <v>12</v>
      </c>
      <c r="D682">
        <v>307</v>
      </c>
      <c r="E682">
        <v>6.1</v>
      </c>
      <c r="F682">
        <v>2105</v>
      </c>
      <c r="G682">
        <v>76</v>
      </c>
      <c r="H682">
        <v>1111</v>
      </c>
      <c r="I682">
        <v>25</v>
      </c>
      <c r="J682" t="str">
        <f t="shared" si="20"/>
        <v>25–40</v>
      </c>
      <c r="K682" t="s">
        <v>15</v>
      </c>
      <c r="L682">
        <v>4</v>
      </c>
      <c r="M682" t="str">
        <f t="shared" si="21"/>
        <v>Yes</v>
      </c>
      <c r="N682" t="str">
        <f>IF(user_behavior_dataset!$D682&lt;60,"Low",
IF(user_behavior_dataset!$D682&lt;=180,"Medium","High"))</f>
        <v>High</v>
      </c>
      <c r="O682" t="str">
        <f>IF(user_behavior_dataset!$H682&gt;=1341,"Yes","No")</f>
        <v>No</v>
      </c>
      <c r="P682" t="str">
        <f>IF(user_behavior_dataset!$F682&gt;=2229,"Yes","No")</f>
        <v>No</v>
      </c>
    </row>
    <row r="683" spans="1:16" x14ac:dyDescent="0.3">
      <c r="A683">
        <v>682</v>
      </c>
      <c r="B683" t="s">
        <v>16</v>
      </c>
      <c r="C683" t="s">
        <v>12</v>
      </c>
      <c r="D683">
        <v>380</v>
      </c>
      <c r="E683">
        <v>7.6</v>
      </c>
      <c r="F683">
        <v>2354</v>
      </c>
      <c r="G683">
        <v>77</v>
      </c>
      <c r="H683">
        <v>1191</v>
      </c>
      <c r="I683">
        <v>30</v>
      </c>
      <c r="J683" t="str">
        <f t="shared" si="20"/>
        <v>25–40</v>
      </c>
      <c r="K683" t="s">
        <v>13</v>
      </c>
      <c r="L683">
        <v>4</v>
      </c>
      <c r="M683" t="str">
        <f t="shared" si="21"/>
        <v>Yes</v>
      </c>
      <c r="N683" t="str">
        <f>IF(user_behavior_dataset!$D683&lt;60,"Low",
IF(user_behavior_dataset!$D683&lt;=180,"Medium","High"))</f>
        <v>High</v>
      </c>
      <c r="O683" t="str">
        <f>IF(user_behavior_dataset!$H683&gt;=1341,"Yes","No")</f>
        <v>No</v>
      </c>
      <c r="P683" t="str">
        <f>IF(user_behavior_dataset!$F683&gt;=2229,"Yes","No")</f>
        <v>Yes</v>
      </c>
    </row>
    <row r="684" spans="1:16" x14ac:dyDescent="0.3">
      <c r="A684">
        <v>683</v>
      </c>
      <c r="B684" t="s">
        <v>16</v>
      </c>
      <c r="C684" t="s">
        <v>12</v>
      </c>
      <c r="D684">
        <v>190</v>
      </c>
      <c r="E684">
        <v>5.5</v>
      </c>
      <c r="F684">
        <v>1718</v>
      </c>
      <c r="G684">
        <v>58</v>
      </c>
      <c r="H684">
        <v>815</v>
      </c>
      <c r="I684">
        <v>42</v>
      </c>
      <c r="J684" t="str">
        <f t="shared" si="20"/>
        <v>40+</v>
      </c>
      <c r="K684" t="s">
        <v>13</v>
      </c>
      <c r="L684">
        <v>3</v>
      </c>
      <c r="M684" t="str">
        <f t="shared" si="21"/>
        <v>Yes</v>
      </c>
      <c r="N684" t="str">
        <f>IF(user_behavior_dataset!$D684&lt;60,"Low",
IF(user_behavior_dataset!$D684&lt;=180,"Medium","High"))</f>
        <v>High</v>
      </c>
      <c r="O684" t="str">
        <f>IF(user_behavior_dataset!$H684&gt;=1341,"Yes","No")</f>
        <v>No</v>
      </c>
      <c r="P684" t="str">
        <f>IF(user_behavior_dataset!$F684&gt;=2229,"Yes","No")</f>
        <v>No</v>
      </c>
    </row>
    <row r="685" spans="1:16" x14ac:dyDescent="0.3">
      <c r="A685">
        <v>684</v>
      </c>
      <c r="B685" t="s">
        <v>19</v>
      </c>
      <c r="C685" t="s">
        <v>12</v>
      </c>
      <c r="D685">
        <v>75</v>
      </c>
      <c r="E685">
        <v>1.6</v>
      </c>
      <c r="F685">
        <v>325</v>
      </c>
      <c r="G685">
        <v>12</v>
      </c>
      <c r="H685">
        <v>225</v>
      </c>
      <c r="I685">
        <v>45</v>
      </c>
      <c r="J685" t="str">
        <f t="shared" si="20"/>
        <v>40+</v>
      </c>
      <c r="K685" t="s">
        <v>13</v>
      </c>
      <c r="L685">
        <v>1</v>
      </c>
      <c r="M685" t="str">
        <f t="shared" si="21"/>
        <v>Yes</v>
      </c>
      <c r="N685" t="str">
        <f>IF(user_behavior_dataset!$D685&lt;60,"Low",
IF(user_behavior_dataset!$D685&lt;=180,"Medium","High"))</f>
        <v>Medium</v>
      </c>
      <c r="O685" t="str">
        <f>IF(user_behavior_dataset!$H685&gt;=1341,"Yes","No")</f>
        <v>No</v>
      </c>
      <c r="P685" t="str">
        <f>IF(user_behavior_dataset!$F685&gt;=2229,"Yes","No")</f>
        <v>No</v>
      </c>
    </row>
    <row r="686" spans="1:16" x14ac:dyDescent="0.3">
      <c r="A686">
        <v>685</v>
      </c>
      <c r="B686" t="s">
        <v>11</v>
      </c>
      <c r="C686" t="s">
        <v>12</v>
      </c>
      <c r="D686">
        <v>218</v>
      </c>
      <c r="E686">
        <v>4</v>
      </c>
      <c r="F686">
        <v>1221</v>
      </c>
      <c r="G686">
        <v>47</v>
      </c>
      <c r="H686">
        <v>822</v>
      </c>
      <c r="I686">
        <v>25</v>
      </c>
      <c r="J686" t="str">
        <f t="shared" si="20"/>
        <v>25–40</v>
      </c>
      <c r="K686" t="s">
        <v>13</v>
      </c>
      <c r="L686">
        <v>3</v>
      </c>
      <c r="M686" t="str">
        <f t="shared" si="21"/>
        <v>Yes</v>
      </c>
      <c r="N686" t="str">
        <f>IF(user_behavior_dataset!$D686&lt;60,"Low",
IF(user_behavior_dataset!$D686&lt;=180,"Medium","High"))</f>
        <v>High</v>
      </c>
      <c r="O686" t="str">
        <f>IF(user_behavior_dataset!$H686&gt;=1341,"Yes","No")</f>
        <v>No</v>
      </c>
      <c r="P686" t="str">
        <f>IF(user_behavior_dataset!$F686&gt;=2229,"Yes","No")</f>
        <v>No</v>
      </c>
    </row>
    <row r="687" spans="1:16" x14ac:dyDescent="0.3">
      <c r="A687">
        <v>686</v>
      </c>
      <c r="B687" t="s">
        <v>16</v>
      </c>
      <c r="C687" t="s">
        <v>12</v>
      </c>
      <c r="D687">
        <v>412</v>
      </c>
      <c r="E687">
        <v>6.6</v>
      </c>
      <c r="F687">
        <v>1859</v>
      </c>
      <c r="G687">
        <v>67</v>
      </c>
      <c r="H687">
        <v>1393</v>
      </c>
      <c r="I687">
        <v>18</v>
      </c>
      <c r="J687" t="str">
        <f t="shared" si="20"/>
        <v>&lt;25</v>
      </c>
      <c r="K687" t="s">
        <v>13</v>
      </c>
      <c r="L687">
        <v>4</v>
      </c>
      <c r="M687" t="str">
        <f t="shared" si="21"/>
        <v>Yes</v>
      </c>
      <c r="N687" t="str">
        <f>IF(user_behavior_dataset!$D687&lt;60,"Low",
IF(user_behavior_dataset!$D687&lt;=180,"Medium","High"))</f>
        <v>High</v>
      </c>
      <c r="O687" t="str">
        <f>IF(user_behavior_dataset!$H687&gt;=1341,"Yes","No")</f>
        <v>Yes</v>
      </c>
      <c r="P687" t="str">
        <f>IF(user_behavior_dataset!$F687&gt;=2229,"Yes","No")</f>
        <v>No</v>
      </c>
    </row>
    <row r="688" spans="1:16" x14ac:dyDescent="0.3">
      <c r="A688">
        <v>687</v>
      </c>
      <c r="B688" t="s">
        <v>11</v>
      </c>
      <c r="C688" t="s">
        <v>12</v>
      </c>
      <c r="D688">
        <v>335</v>
      </c>
      <c r="E688">
        <v>7.7</v>
      </c>
      <c r="F688">
        <v>2037</v>
      </c>
      <c r="G688">
        <v>68</v>
      </c>
      <c r="H688">
        <v>1007</v>
      </c>
      <c r="I688">
        <v>18</v>
      </c>
      <c r="J688" t="str">
        <f t="shared" si="20"/>
        <v>&lt;25</v>
      </c>
      <c r="K688" t="s">
        <v>13</v>
      </c>
      <c r="L688">
        <v>4</v>
      </c>
      <c r="M688" t="str">
        <f t="shared" si="21"/>
        <v>Yes</v>
      </c>
      <c r="N688" t="str">
        <f>IF(user_behavior_dataset!$D688&lt;60,"Low",
IF(user_behavior_dataset!$D688&lt;=180,"Medium","High"))</f>
        <v>High</v>
      </c>
      <c r="O688" t="str">
        <f>IF(user_behavior_dataset!$H688&gt;=1341,"Yes","No")</f>
        <v>No</v>
      </c>
      <c r="P688" t="str">
        <f>IF(user_behavior_dataset!$F688&gt;=2229,"Yes","No")</f>
        <v>No</v>
      </c>
    </row>
    <row r="689" spans="1:16" x14ac:dyDescent="0.3">
      <c r="A689">
        <v>688</v>
      </c>
      <c r="B689" t="s">
        <v>14</v>
      </c>
      <c r="C689" t="s">
        <v>12</v>
      </c>
      <c r="D689">
        <v>387</v>
      </c>
      <c r="E689">
        <v>6.3</v>
      </c>
      <c r="F689">
        <v>2098</v>
      </c>
      <c r="G689">
        <v>61</v>
      </c>
      <c r="H689">
        <v>1178</v>
      </c>
      <c r="I689">
        <v>54</v>
      </c>
      <c r="J689" t="str">
        <f t="shared" si="20"/>
        <v>40+</v>
      </c>
      <c r="K689" t="s">
        <v>13</v>
      </c>
      <c r="L689">
        <v>4</v>
      </c>
      <c r="M689" t="str">
        <f t="shared" si="21"/>
        <v>Yes</v>
      </c>
      <c r="N689" t="str">
        <f>IF(user_behavior_dataset!$D689&lt;60,"Low",
IF(user_behavior_dataset!$D689&lt;=180,"Medium","High"))</f>
        <v>High</v>
      </c>
      <c r="O689" t="str">
        <f>IF(user_behavior_dataset!$H689&gt;=1341,"Yes","No")</f>
        <v>No</v>
      </c>
      <c r="P689" t="str">
        <f>IF(user_behavior_dataset!$F689&gt;=2229,"Yes","No")</f>
        <v>No</v>
      </c>
    </row>
    <row r="690" spans="1:16" x14ac:dyDescent="0.3">
      <c r="A690">
        <v>689</v>
      </c>
      <c r="B690" t="s">
        <v>11</v>
      </c>
      <c r="C690" t="s">
        <v>12</v>
      </c>
      <c r="D690">
        <v>261</v>
      </c>
      <c r="E690">
        <v>4.9000000000000004</v>
      </c>
      <c r="F690">
        <v>1589</v>
      </c>
      <c r="G690">
        <v>56</v>
      </c>
      <c r="H690">
        <v>824</v>
      </c>
      <c r="I690">
        <v>52</v>
      </c>
      <c r="J690" t="str">
        <f t="shared" si="20"/>
        <v>40+</v>
      </c>
      <c r="K690" t="s">
        <v>15</v>
      </c>
      <c r="L690">
        <v>3</v>
      </c>
      <c r="M690" t="str">
        <f t="shared" si="21"/>
        <v>Yes</v>
      </c>
      <c r="N690" t="str">
        <f>IF(user_behavior_dataset!$D690&lt;60,"Low",
IF(user_behavior_dataset!$D690&lt;=180,"Medium","High"))</f>
        <v>High</v>
      </c>
      <c r="O690" t="str">
        <f>IF(user_behavior_dataset!$H690&gt;=1341,"Yes","No")</f>
        <v>No</v>
      </c>
      <c r="P690" t="str">
        <f>IF(user_behavior_dataset!$F690&gt;=2229,"Yes","No")</f>
        <v>No</v>
      </c>
    </row>
    <row r="691" spans="1:16" x14ac:dyDescent="0.3">
      <c r="A691">
        <v>690</v>
      </c>
      <c r="B691" t="s">
        <v>19</v>
      </c>
      <c r="C691" t="s">
        <v>12</v>
      </c>
      <c r="D691">
        <v>541</v>
      </c>
      <c r="E691">
        <v>9.5</v>
      </c>
      <c r="F691">
        <v>2424</v>
      </c>
      <c r="G691">
        <v>98</v>
      </c>
      <c r="H691">
        <v>1550</v>
      </c>
      <c r="I691">
        <v>32</v>
      </c>
      <c r="J691" t="str">
        <f t="shared" si="20"/>
        <v>25–40</v>
      </c>
      <c r="K691" t="s">
        <v>13</v>
      </c>
      <c r="L691">
        <v>5</v>
      </c>
      <c r="M691" t="str">
        <f t="shared" si="21"/>
        <v>Yes</v>
      </c>
      <c r="N691" t="str">
        <f>IF(user_behavior_dataset!$D691&lt;60,"Low",
IF(user_behavior_dataset!$D691&lt;=180,"Medium","High"))</f>
        <v>High</v>
      </c>
      <c r="O691" t="str">
        <f>IF(user_behavior_dataset!$H691&gt;=1341,"Yes","No")</f>
        <v>Yes</v>
      </c>
      <c r="P691" t="str">
        <f>IF(user_behavior_dataset!$F691&gt;=2229,"Yes","No")</f>
        <v>Yes</v>
      </c>
    </row>
    <row r="692" spans="1:16" x14ac:dyDescent="0.3">
      <c r="A692">
        <v>691</v>
      </c>
      <c r="B692" t="s">
        <v>11</v>
      </c>
      <c r="C692" t="s">
        <v>12</v>
      </c>
      <c r="D692">
        <v>195</v>
      </c>
      <c r="E692">
        <v>5.7</v>
      </c>
      <c r="F692">
        <v>1447</v>
      </c>
      <c r="G692">
        <v>48</v>
      </c>
      <c r="H692">
        <v>679</v>
      </c>
      <c r="I692">
        <v>30</v>
      </c>
      <c r="J692" t="str">
        <f t="shared" si="20"/>
        <v>25–40</v>
      </c>
      <c r="K692" t="s">
        <v>13</v>
      </c>
      <c r="L692">
        <v>3</v>
      </c>
      <c r="M692" t="str">
        <f t="shared" si="21"/>
        <v>Yes</v>
      </c>
      <c r="N692" t="str">
        <f>IF(user_behavior_dataset!$D692&lt;60,"Low",
IF(user_behavior_dataset!$D692&lt;=180,"Medium","High"))</f>
        <v>High</v>
      </c>
      <c r="O692" t="str">
        <f>IF(user_behavior_dataset!$H692&gt;=1341,"Yes","No")</f>
        <v>No</v>
      </c>
      <c r="P692" t="str">
        <f>IF(user_behavior_dataset!$F692&gt;=2229,"Yes","No")</f>
        <v>No</v>
      </c>
    </row>
    <row r="693" spans="1:16" x14ac:dyDescent="0.3">
      <c r="A693">
        <v>692</v>
      </c>
      <c r="B693" t="s">
        <v>17</v>
      </c>
      <c r="C693" t="s">
        <v>18</v>
      </c>
      <c r="D693">
        <v>178</v>
      </c>
      <c r="E693">
        <v>4</v>
      </c>
      <c r="F693">
        <v>856</v>
      </c>
      <c r="G693">
        <v>37</v>
      </c>
      <c r="H693">
        <v>569</v>
      </c>
      <c r="I693">
        <v>51</v>
      </c>
      <c r="J693" t="str">
        <f t="shared" si="20"/>
        <v>40+</v>
      </c>
      <c r="K693" t="s">
        <v>15</v>
      </c>
      <c r="L693">
        <v>2</v>
      </c>
      <c r="M693" t="str">
        <f t="shared" si="21"/>
        <v>Yes</v>
      </c>
      <c r="N693" t="str">
        <f>IF(user_behavior_dataset!$D693&lt;60,"Low",
IF(user_behavior_dataset!$D693&lt;=180,"Medium","High"))</f>
        <v>Medium</v>
      </c>
      <c r="O693" t="str">
        <f>IF(user_behavior_dataset!$H693&gt;=1341,"Yes","No")</f>
        <v>No</v>
      </c>
      <c r="P693" t="str">
        <f>IF(user_behavior_dataset!$F693&gt;=2229,"Yes","No")</f>
        <v>No</v>
      </c>
    </row>
    <row r="694" spans="1:16" x14ac:dyDescent="0.3">
      <c r="A694">
        <v>693</v>
      </c>
      <c r="B694" t="s">
        <v>16</v>
      </c>
      <c r="C694" t="s">
        <v>12</v>
      </c>
      <c r="D694">
        <v>378</v>
      </c>
      <c r="E694">
        <v>6.7</v>
      </c>
      <c r="F694">
        <v>1898</v>
      </c>
      <c r="G694">
        <v>78</v>
      </c>
      <c r="H694">
        <v>1455</v>
      </c>
      <c r="I694">
        <v>48</v>
      </c>
      <c r="J694" t="str">
        <f t="shared" si="20"/>
        <v>40+</v>
      </c>
      <c r="K694" t="s">
        <v>15</v>
      </c>
      <c r="L694">
        <v>4</v>
      </c>
      <c r="M694" t="str">
        <f t="shared" si="21"/>
        <v>Yes</v>
      </c>
      <c r="N694" t="str">
        <f>IF(user_behavior_dataset!$D694&lt;60,"Low",
IF(user_behavior_dataset!$D694&lt;=180,"Medium","High"))</f>
        <v>High</v>
      </c>
      <c r="O694" t="str">
        <f>IF(user_behavior_dataset!$H694&gt;=1341,"Yes","No")</f>
        <v>Yes</v>
      </c>
      <c r="P694" t="str">
        <f>IF(user_behavior_dataset!$F694&gt;=2229,"Yes","No")</f>
        <v>No</v>
      </c>
    </row>
    <row r="695" spans="1:16" x14ac:dyDescent="0.3">
      <c r="A695">
        <v>694</v>
      </c>
      <c r="B695" t="s">
        <v>16</v>
      </c>
      <c r="C695" t="s">
        <v>12</v>
      </c>
      <c r="D695">
        <v>505</v>
      </c>
      <c r="E695">
        <v>8.6</v>
      </c>
      <c r="F695">
        <v>2792</v>
      </c>
      <c r="G695">
        <v>82</v>
      </c>
      <c r="H695">
        <v>1709</v>
      </c>
      <c r="I695">
        <v>31</v>
      </c>
      <c r="J695" t="str">
        <f t="shared" si="20"/>
        <v>25–40</v>
      </c>
      <c r="K695" t="s">
        <v>13</v>
      </c>
      <c r="L695">
        <v>5</v>
      </c>
      <c r="M695" t="str">
        <f t="shared" si="21"/>
        <v>Yes</v>
      </c>
      <c r="N695" t="str">
        <f>IF(user_behavior_dataset!$D695&lt;60,"Low",
IF(user_behavior_dataset!$D695&lt;=180,"Medium","High"))</f>
        <v>High</v>
      </c>
      <c r="O695" t="str">
        <f>IF(user_behavior_dataset!$H695&gt;=1341,"Yes","No")</f>
        <v>Yes</v>
      </c>
      <c r="P695" t="str">
        <f>IF(user_behavior_dataset!$F695&gt;=2229,"Yes","No")</f>
        <v>Yes</v>
      </c>
    </row>
    <row r="696" spans="1:16" x14ac:dyDescent="0.3">
      <c r="A696">
        <v>695</v>
      </c>
      <c r="B696" t="s">
        <v>19</v>
      </c>
      <c r="C696" t="s">
        <v>12</v>
      </c>
      <c r="D696">
        <v>564</v>
      </c>
      <c r="E696">
        <v>9.6999999999999993</v>
      </c>
      <c r="F696">
        <v>2422</v>
      </c>
      <c r="G696">
        <v>83</v>
      </c>
      <c r="H696">
        <v>1985</v>
      </c>
      <c r="I696">
        <v>34</v>
      </c>
      <c r="J696" t="str">
        <f t="shared" si="20"/>
        <v>25–40</v>
      </c>
      <c r="K696" t="s">
        <v>15</v>
      </c>
      <c r="L696">
        <v>5</v>
      </c>
      <c r="M696" t="str">
        <f t="shared" si="21"/>
        <v>Yes</v>
      </c>
      <c r="N696" t="str">
        <f>IF(user_behavior_dataset!$D696&lt;60,"Low",
IF(user_behavior_dataset!$D696&lt;=180,"Medium","High"))</f>
        <v>High</v>
      </c>
      <c r="O696" t="str">
        <f>IF(user_behavior_dataset!$H696&gt;=1341,"Yes","No")</f>
        <v>Yes</v>
      </c>
      <c r="P696" t="str">
        <f>IF(user_behavior_dataset!$F696&gt;=2229,"Yes","No")</f>
        <v>Yes</v>
      </c>
    </row>
    <row r="697" spans="1:16" x14ac:dyDescent="0.3">
      <c r="A697">
        <v>696</v>
      </c>
      <c r="B697" t="s">
        <v>17</v>
      </c>
      <c r="C697" t="s">
        <v>18</v>
      </c>
      <c r="D697">
        <v>92</v>
      </c>
      <c r="E697">
        <v>3.9</v>
      </c>
      <c r="F697">
        <v>1082</v>
      </c>
      <c r="G697">
        <v>26</v>
      </c>
      <c r="H697">
        <v>381</v>
      </c>
      <c r="I697">
        <v>22</v>
      </c>
      <c r="J697" t="str">
        <f t="shared" si="20"/>
        <v>&lt;25</v>
      </c>
      <c r="K697" t="s">
        <v>13</v>
      </c>
      <c r="L697">
        <v>2</v>
      </c>
      <c r="M697" t="str">
        <f t="shared" si="21"/>
        <v>Yes</v>
      </c>
      <c r="N697" t="str">
        <f>IF(user_behavior_dataset!$D697&lt;60,"Low",
IF(user_behavior_dataset!$D697&lt;=180,"Medium","High"))</f>
        <v>Medium</v>
      </c>
      <c r="O697" t="str">
        <f>IF(user_behavior_dataset!$H697&gt;=1341,"Yes","No")</f>
        <v>No</v>
      </c>
      <c r="P697" t="str">
        <f>IF(user_behavior_dataset!$F697&gt;=2229,"Yes","No")</f>
        <v>No</v>
      </c>
    </row>
    <row r="698" spans="1:16" x14ac:dyDescent="0.3">
      <c r="A698">
        <v>697</v>
      </c>
      <c r="B698" t="s">
        <v>16</v>
      </c>
      <c r="C698" t="s">
        <v>12</v>
      </c>
      <c r="D698">
        <v>316</v>
      </c>
      <c r="E698">
        <v>6.8</v>
      </c>
      <c r="F698">
        <v>1965</v>
      </c>
      <c r="G698">
        <v>68</v>
      </c>
      <c r="H698">
        <v>1201</v>
      </c>
      <c r="I698">
        <v>59</v>
      </c>
      <c r="J698" t="str">
        <f t="shared" si="20"/>
        <v>40+</v>
      </c>
      <c r="K698" t="s">
        <v>13</v>
      </c>
      <c r="L698">
        <v>4</v>
      </c>
      <c r="M698" t="str">
        <f t="shared" si="21"/>
        <v>Yes</v>
      </c>
      <c r="N698" t="str">
        <f>IF(user_behavior_dataset!$D698&lt;60,"Low",
IF(user_behavior_dataset!$D698&lt;=180,"Medium","High"))</f>
        <v>High</v>
      </c>
      <c r="O698" t="str">
        <f>IF(user_behavior_dataset!$H698&gt;=1341,"Yes","No")</f>
        <v>No</v>
      </c>
      <c r="P698" t="str">
        <f>IF(user_behavior_dataset!$F698&gt;=2229,"Yes","No")</f>
        <v>No</v>
      </c>
    </row>
    <row r="699" spans="1:16" x14ac:dyDescent="0.3">
      <c r="A699">
        <v>698</v>
      </c>
      <c r="B699" t="s">
        <v>11</v>
      </c>
      <c r="C699" t="s">
        <v>12</v>
      </c>
      <c r="D699">
        <v>99</v>
      </c>
      <c r="E699">
        <v>3.1</v>
      </c>
      <c r="F699">
        <v>942</v>
      </c>
      <c r="G699">
        <v>22</v>
      </c>
      <c r="H699">
        <v>457</v>
      </c>
      <c r="I699">
        <v>50</v>
      </c>
      <c r="J699" t="str">
        <f t="shared" si="20"/>
        <v>40+</v>
      </c>
      <c r="K699" t="s">
        <v>15</v>
      </c>
      <c r="L699">
        <v>2</v>
      </c>
      <c r="M699" t="str">
        <f t="shared" si="21"/>
        <v>Yes</v>
      </c>
      <c r="N699" t="str">
        <f>IF(user_behavior_dataset!$D699&lt;60,"Low",
IF(user_behavior_dataset!$D699&lt;=180,"Medium","High"))</f>
        <v>Medium</v>
      </c>
      <c r="O699" t="str">
        <f>IF(user_behavior_dataset!$H699&gt;=1341,"Yes","No")</f>
        <v>No</v>
      </c>
      <c r="P699" t="str">
        <f>IF(user_behavior_dataset!$F699&gt;=2229,"Yes","No")</f>
        <v>No</v>
      </c>
    </row>
    <row r="700" spans="1:16" x14ac:dyDescent="0.3">
      <c r="A700">
        <v>699</v>
      </c>
      <c r="B700" t="s">
        <v>19</v>
      </c>
      <c r="C700" t="s">
        <v>12</v>
      </c>
      <c r="D700">
        <v>62</v>
      </c>
      <c r="E700">
        <v>1.7</v>
      </c>
      <c r="F700">
        <v>431</v>
      </c>
      <c r="G700">
        <v>13</v>
      </c>
      <c r="H700">
        <v>224</v>
      </c>
      <c r="I700">
        <v>44</v>
      </c>
      <c r="J700" t="str">
        <f t="shared" si="20"/>
        <v>40+</v>
      </c>
      <c r="K700" t="s">
        <v>13</v>
      </c>
      <c r="L700">
        <v>1</v>
      </c>
      <c r="M700" t="str">
        <f t="shared" si="21"/>
        <v>Yes</v>
      </c>
      <c r="N700" t="str">
        <f>IF(user_behavior_dataset!$D700&lt;60,"Low",
IF(user_behavior_dataset!$D700&lt;=180,"Medium","High"))</f>
        <v>Medium</v>
      </c>
      <c r="O700" t="str">
        <f>IF(user_behavior_dataset!$H700&gt;=1341,"Yes","No")</f>
        <v>No</v>
      </c>
      <c r="P700" t="str">
        <f>IF(user_behavior_dataset!$F700&gt;=2229,"Yes","No")</f>
        <v>No</v>
      </c>
    </row>
    <row r="701" spans="1:16" ht="15" thickBot="1" x14ac:dyDescent="0.35">
      <c r="A701">
        <v>700</v>
      </c>
      <c r="B701" t="s">
        <v>14</v>
      </c>
      <c r="C701" t="s">
        <v>12</v>
      </c>
      <c r="D701">
        <v>212</v>
      </c>
      <c r="E701">
        <v>5.4</v>
      </c>
      <c r="F701">
        <v>1306</v>
      </c>
      <c r="G701">
        <v>49</v>
      </c>
      <c r="H701">
        <v>828</v>
      </c>
      <c r="I701">
        <v>23</v>
      </c>
      <c r="J701" t="str">
        <f t="shared" si="20"/>
        <v>&lt;25</v>
      </c>
      <c r="K701" t="s">
        <v>15</v>
      </c>
      <c r="L701">
        <v>3</v>
      </c>
      <c r="M701" t="str">
        <f t="shared" si="21"/>
        <v>Yes</v>
      </c>
      <c r="N701" t="str">
        <f>IF(user_behavior_dataset!$D701&lt;60,"Low",
IF(user_behavior_dataset!$D701&lt;=180,"Medium","High"))</f>
        <v>High</v>
      </c>
      <c r="O701" t="str">
        <f>IF(user_behavior_dataset!$H701&gt;=1341,"Yes","No")</f>
        <v>No</v>
      </c>
      <c r="P701" t="str">
        <f>IF(user_behavior_dataset!$F701&gt;=2229,"Yes","No")</f>
        <v>No</v>
      </c>
    </row>
    <row r="702" spans="1:16" ht="15" thickTop="1" x14ac:dyDescent="0.3">
      <c r="A702" s="2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4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6C058-5ED2-4B0C-8C90-1F75899D283A}">
  <dimension ref="A3:B6"/>
  <sheetViews>
    <sheetView workbookViewId="0">
      <selection activeCell="B4" sqref="B4"/>
    </sheetView>
  </sheetViews>
  <sheetFormatPr defaultRowHeight="14.4" x14ac:dyDescent="0.3"/>
  <cols>
    <col min="1" max="1" width="12.44140625" bestFit="1" customWidth="1"/>
    <col min="2" max="2" width="14.109375" bestFit="1" customWidth="1"/>
  </cols>
  <sheetData>
    <row r="3" spans="1:2" x14ac:dyDescent="0.3">
      <c r="A3" s="5" t="s">
        <v>23</v>
      </c>
      <c r="B3" t="s">
        <v>26</v>
      </c>
    </row>
    <row r="4" spans="1:2" x14ac:dyDescent="0.3">
      <c r="A4" s="6" t="s">
        <v>28</v>
      </c>
      <c r="B4" s="8">
        <v>8.7142857142857147E-2</v>
      </c>
    </row>
    <row r="5" spans="1:2" x14ac:dyDescent="0.3">
      <c r="A5" s="6" t="s">
        <v>24</v>
      </c>
      <c r="B5" s="8">
        <v>0.91285714285714281</v>
      </c>
    </row>
    <row r="6" spans="1:2" x14ac:dyDescent="0.3">
      <c r="A6" s="6" t="s">
        <v>25</v>
      </c>
      <c r="B6" s="8">
        <v>1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9E8F9-EF83-4BB3-95BC-4ACB46755D28}">
  <dimension ref="A3:B7"/>
  <sheetViews>
    <sheetView workbookViewId="0">
      <selection activeCell="B6" sqref="B6"/>
    </sheetView>
  </sheetViews>
  <sheetFormatPr defaultRowHeight="14.4" x14ac:dyDescent="0.3"/>
  <cols>
    <col min="1" max="1" width="12.44140625" bestFit="1" customWidth="1"/>
    <col min="2" max="2" width="14.109375" bestFit="1" customWidth="1"/>
  </cols>
  <sheetData>
    <row r="3" spans="1:2" x14ac:dyDescent="0.3">
      <c r="A3" s="5" t="s">
        <v>23</v>
      </c>
      <c r="B3" t="s">
        <v>26</v>
      </c>
    </row>
    <row r="4" spans="1:2" x14ac:dyDescent="0.3">
      <c r="A4" s="6" t="s">
        <v>29</v>
      </c>
      <c r="B4" s="7">
        <v>418</v>
      </c>
    </row>
    <row r="5" spans="1:2" x14ac:dyDescent="0.3">
      <c r="A5" s="6" t="s">
        <v>30</v>
      </c>
      <c r="B5" s="7">
        <v>61</v>
      </c>
    </row>
    <row r="6" spans="1:2" x14ac:dyDescent="0.3">
      <c r="A6" s="6" t="s">
        <v>31</v>
      </c>
      <c r="B6" s="7">
        <v>221</v>
      </c>
    </row>
    <row r="7" spans="1:2" x14ac:dyDescent="0.3">
      <c r="A7" s="6" t="s">
        <v>25</v>
      </c>
      <c r="B7" s="7">
        <v>700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A5294-743F-4E88-BDBD-66C7C9EB28D2}">
  <dimension ref="A3:B7"/>
  <sheetViews>
    <sheetView workbookViewId="0">
      <selection activeCell="F4" sqref="F4"/>
    </sheetView>
  </sheetViews>
  <sheetFormatPr defaultRowHeight="14.4" x14ac:dyDescent="0.3"/>
  <cols>
    <col min="1" max="1" width="12.44140625" bestFit="1" customWidth="1"/>
    <col min="2" max="2" width="32" bestFit="1" customWidth="1"/>
  </cols>
  <sheetData>
    <row r="3" spans="1:2" x14ac:dyDescent="0.3">
      <c r="A3" s="5" t="s">
        <v>23</v>
      </c>
      <c r="B3" t="s">
        <v>32</v>
      </c>
    </row>
    <row r="4" spans="1:2" x14ac:dyDescent="0.3">
      <c r="A4" s="6" t="s">
        <v>29</v>
      </c>
      <c r="B4" s="9">
        <v>388.28708133971293</v>
      </c>
    </row>
    <row r="5" spans="1:2" x14ac:dyDescent="0.3">
      <c r="A5" s="6" t="s">
        <v>30</v>
      </c>
      <c r="B5" s="9">
        <v>43.590163934426229</v>
      </c>
    </row>
    <row r="6" spans="1:2" x14ac:dyDescent="0.3">
      <c r="A6" s="6" t="s">
        <v>31</v>
      </c>
      <c r="B6" s="9">
        <v>112.3393665158371</v>
      </c>
    </row>
    <row r="7" spans="1:2" x14ac:dyDescent="0.3">
      <c r="A7" s="6" t="s">
        <v>25</v>
      </c>
      <c r="B7" s="9">
        <v>271.12857142857143</v>
      </c>
    </row>
  </sheetData>
  <pageMargins left="0.7" right="0.7" top="0.75" bottom="0.75" header="0.3" footer="0.3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99ED3-EF14-41DD-B699-0DE932422660}">
  <dimension ref="A3:B7"/>
  <sheetViews>
    <sheetView workbookViewId="0">
      <selection activeCell="L14" sqref="L14"/>
    </sheetView>
  </sheetViews>
  <sheetFormatPr defaultRowHeight="14.4" x14ac:dyDescent="0.3"/>
  <cols>
    <col min="1" max="1" width="12.44140625" bestFit="1" customWidth="1"/>
    <col min="2" max="2" width="33.109375" bestFit="1" customWidth="1"/>
  </cols>
  <sheetData>
    <row r="3" spans="1:2" x14ac:dyDescent="0.3">
      <c r="A3" s="5" t="s">
        <v>23</v>
      </c>
      <c r="B3" t="s">
        <v>33</v>
      </c>
    </row>
    <row r="4" spans="1:2" x14ac:dyDescent="0.3">
      <c r="A4" s="6" t="s">
        <v>29</v>
      </c>
      <c r="B4" s="9">
        <v>7.2839712918660284</v>
      </c>
    </row>
    <row r="5" spans="1:2" x14ac:dyDescent="0.3">
      <c r="A5" s="6" t="s">
        <v>30</v>
      </c>
      <c r="B5" s="9">
        <v>1.5065573770491802</v>
      </c>
    </row>
    <row r="6" spans="1:2" x14ac:dyDescent="0.3">
      <c r="A6" s="6" t="s">
        <v>31</v>
      </c>
      <c r="B6" s="9">
        <v>2.5081447963800918</v>
      </c>
    </row>
    <row r="7" spans="1:2" x14ac:dyDescent="0.3">
      <c r="A7" s="6" t="s">
        <v>25</v>
      </c>
      <c r="B7" s="9">
        <v>5.2727142857142839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FD6F6-BF09-4352-881E-EDAB021450C5}">
  <dimension ref="A3:B7"/>
  <sheetViews>
    <sheetView workbookViewId="0">
      <selection activeCell="B5" sqref="B5"/>
    </sheetView>
  </sheetViews>
  <sheetFormatPr defaultRowHeight="14.4" x14ac:dyDescent="0.3"/>
  <cols>
    <col min="1" max="1" width="12.44140625" bestFit="1" customWidth="1"/>
    <col min="2" max="2" width="27.33203125" bestFit="1" customWidth="1"/>
  </cols>
  <sheetData>
    <row r="3" spans="1:2" x14ac:dyDescent="0.3">
      <c r="A3" s="5" t="s">
        <v>23</v>
      </c>
      <c r="B3" t="s">
        <v>34</v>
      </c>
    </row>
    <row r="4" spans="1:2" x14ac:dyDescent="0.3">
      <c r="A4" s="6" t="s">
        <v>29</v>
      </c>
      <c r="B4" s="9">
        <v>1333.4856459330144</v>
      </c>
    </row>
    <row r="5" spans="1:2" x14ac:dyDescent="0.3">
      <c r="A5" s="6" t="s">
        <v>30</v>
      </c>
      <c r="B5" s="9">
        <v>195.73770491803279</v>
      </c>
    </row>
    <row r="6" spans="1:2" x14ac:dyDescent="0.3">
      <c r="A6" s="6" t="s">
        <v>31</v>
      </c>
      <c r="B6" s="9">
        <v>368.70135746606337</v>
      </c>
    </row>
    <row r="7" spans="1:2" x14ac:dyDescent="0.3">
      <c r="A7" s="6" t="s">
        <v>25</v>
      </c>
      <c r="B7" s="9">
        <v>929.74285714285713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6DD66-7CCF-4A75-9005-373FB5B698B4}">
  <dimension ref="A3:B7"/>
  <sheetViews>
    <sheetView workbookViewId="0">
      <selection activeCell="B5" sqref="B5"/>
    </sheetView>
  </sheetViews>
  <sheetFormatPr defaultRowHeight="14.4" x14ac:dyDescent="0.3"/>
  <cols>
    <col min="1" max="1" width="12.44140625" bestFit="1" customWidth="1"/>
    <col min="2" max="2" width="30.21875" bestFit="1" customWidth="1"/>
  </cols>
  <sheetData>
    <row r="3" spans="1:2" x14ac:dyDescent="0.3">
      <c r="A3" s="5" t="s">
        <v>23</v>
      </c>
      <c r="B3" t="s">
        <v>35</v>
      </c>
    </row>
    <row r="4" spans="1:2" x14ac:dyDescent="0.3">
      <c r="A4" s="6" t="s">
        <v>29</v>
      </c>
      <c r="B4" s="9">
        <v>2097.3636363636365</v>
      </c>
    </row>
    <row r="5" spans="1:2" x14ac:dyDescent="0.3">
      <c r="A5" s="6" t="s">
        <v>30</v>
      </c>
      <c r="B5" s="9">
        <v>444.26229508196724</v>
      </c>
    </row>
    <row r="6" spans="1:2" x14ac:dyDescent="0.3">
      <c r="A6" s="6" t="s">
        <v>31</v>
      </c>
      <c r="B6" s="9">
        <v>741.23529411764707</v>
      </c>
    </row>
    <row r="7" spans="1:2" x14ac:dyDescent="0.3">
      <c r="A7" s="6" t="s">
        <v>25</v>
      </c>
      <c r="B7" s="9">
        <v>1525.1585714285713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159D5-BEED-41D7-BD08-FC8B86AC37A1}">
  <dimension ref="A3:B6"/>
  <sheetViews>
    <sheetView workbookViewId="0">
      <selection activeCell="O5" sqref="O5"/>
    </sheetView>
  </sheetViews>
  <sheetFormatPr defaultRowHeight="14.4" x14ac:dyDescent="0.3"/>
  <cols>
    <col min="1" max="1" width="12.44140625" bestFit="1" customWidth="1"/>
    <col min="2" max="2" width="14.109375" bestFit="1" customWidth="1"/>
  </cols>
  <sheetData>
    <row r="3" spans="1:2" x14ac:dyDescent="0.3">
      <c r="A3" s="5" t="s">
        <v>23</v>
      </c>
      <c r="B3" t="s">
        <v>26</v>
      </c>
    </row>
    <row r="4" spans="1:2" x14ac:dyDescent="0.3">
      <c r="A4" s="6" t="s">
        <v>28</v>
      </c>
      <c r="B4" s="10">
        <v>0.74857142857142855</v>
      </c>
    </row>
    <row r="5" spans="1:2" x14ac:dyDescent="0.3">
      <c r="A5" s="6" t="s">
        <v>24</v>
      </c>
      <c r="B5" s="10">
        <v>0.25142857142857145</v>
      </c>
    </row>
    <row r="6" spans="1:2" x14ac:dyDescent="0.3">
      <c r="A6" s="6" t="s">
        <v>25</v>
      </c>
      <c r="B6" s="10">
        <v>1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E503F-8025-4898-B8ED-8AFA69A27120}">
  <dimension ref="A3:B6"/>
  <sheetViews>
    <sheetView workbookViewId="0">
      <selection activeCell="B4" sqref="B4"/>
    </sheetView>
  </sheetViews>
  <sheetFormatPr defaultRowHeight="14.4" x14ac:dyDescent="0.3"/>
  <cols>
    <col min="1" max="1" width="12.44140625" bestFit="1" customWidth="1"/>
    <col min="2" max="2" width="14.109375" bestFit="1" customWidth="1"/>
  </cols>
  <sheetData>
    <row r="3" spans="1:2" x14ac:dyDescent="0.3">
      <c r="A3" s="5" t="s">
        <v>23</v>
      </c>
      <c r="B3" t="s">
        <v>26</v>
      </c>
    </row>
    <row r="4" spans="1:2" x14ac:dyDescent="0.3">
      <c r="A4" s="6" t="s">
        <v>28</v>
      </c>
      <c r="B4" s="10">
        <v>0.74857142857142855</v>
      </c>
    </row>
    <row r="5" spans="1:2" x14ac:dyDescent="0.3">
      <c r="A5" s="6" t="s">
        <v>24</v>
      </c>
      <c r="B5" s="10">
        <v>0.25142857142857145</v>
      </c>
    </row>
    <row r="6" spans="1:2" x14ac:dyDescent="0.3">
      <c r="A6" s="6" t="s">
        <v>25</v>
      </c>
      <c r="B6" s="10">
        <v>1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0B008-D86F-43A5-930E-41124876CD50}">
  <dimension ref="A3:D7"/>
  <sheetViews>
    <sheetView workbookViewId="0">
      <selection activeCell="H17" sqref="H17"/>
    </sheetView>
  </sheetViews>
  <sheetFormatPr defaultRowHeight="14.4" x14ac:dyDescent="0.3"/>
  <cols>
    <col min="1" max="1" width="12.44140625" bestFit="1" customWidth="1"/>
    <col min="2" max="2" width="32" bestFit="1" customWidth="1"/>
    <col min="3" max="3" width="30.21875" bestFit="1" customWidth="1"/>
    <col min="4" max="4" width="27.33203125" bestFit="1" customWidth="1"/>
  </cols>
  <sheetData>
    <row r="3" spans="1:4" x14ac:dyDescent="0.3">
      <c r="A3" s="5" t="s">
        <v>23</v>
      </c>
      <c r="B3" t="s">
        <v>32</v>
      </c>
      <c r="C3" t="s">
        <v>35</v>
      </c>
      <c r="D3" t="s">
        <v>34</v>
      </c>
    </row>
    <row r="4" spans="1:4" x14ac:dyDescent="0.3">
      <c r="A4" s="6" t="s">
        <v>29</v>
      </c>
      <c r="B4" s="9">
        <v>388.28708133971293</v>
      </c>
      <c r="C4" s="9">
        <v>2097.3636363636365</v>
      </c>
      <c r="D4" s="9">
        <v>1333.4856459330144</v>
      </c>
    </row>
    <row r="5" spans="1:4" x14ac:dyDescent="0.3">
      <c r="A5" s="6" t="s">
        <v>30</v>
      </c>
      <c r="B5" s="9">
        <v>43.590163934426229</v>
      </c>
      <c r="C5" s="9">
        <v>444.26229508196724</v>
      </c>
      <c r="D5" s="9">
        <v>195.73770491803279</v>
      </c>
    </row>
    <row r="6" spans="1:4" x14ac:dyDescent="0.3">
      <c r="A6" s="6" t="s">
        <v>31</v>
      </c>
      <c r="B6" s="9">
        <v>112.3393665158371</v>
      </c>
      <c r="C6" s="9">
        <v>741.23529411764707</v>
      </c>
      <c r="D6" s="9">
        <v>368.70135746606337</v>
      </c>
    </row>
    <row r="7" spans="1:4" x14ac:dyDescent="0.3">
      <c r="A7" s="6" t="s">
        <v>25</v>
      </c>
      <c r="B7" s="9">
        <v>271.12857142857143</v>
      </c>
      <c r="C7" s="9">
        <v>1525.1585714285713</v>
      </c>
      <c r="D7" s="9">
        <v>929.74285714285713</v>
      </c>
    </row>
  </sheetData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8158F-BB2E-47E7-8DA6-F111C9819320}">
  <dimension ref="A3:E8"/>
  <sheetViews>
    <sheetView topLeftCell="A4" workbookViewId="0">
      <selection activeCell="A3" sqref="A3"/>
    </sheetView>
  </sheetViews>
  <sheetFormatPr defaultRowHeight="14.4" x14ac:dyDescent="0.3"/>
  <cols>
    <col min="1" max="1" width="14.109375" bestFit="1" customWidth="1"/>
    <col min="2" max="2" width="15.5546875" bestFit="1" customWidth="1"/>
    <col min="3" max="3" width="4.21875" bestFit="1" customWidth="1"/>
    <col min="4" max="4" width="7.77734375" bestFit="1" customWidth="1"/>
    <col min="5" max="6" width="10.5546875" bestFit="1" customWidth="1"/>
  </cols>
  <sheetData>
    <row r="3" spans="1:5" x14ac:dyDescent="0.3">
      <c r="A3" s="5" t="s">
        <v>26</v>
      </c>
      <c r="B3" s="5" t="s">
        <v>37</v>
      </c>
    </row>
    <row r="4" spans="1:5" x14ac:dyDescent="0.3">
      <c r="A4" s="5" t="s">
        <v>23</v>
      </c>
      <c r="B4" t="s">
        <v>29</v>
      </c>
      <c r="C4" t="s">
        <v>30</v>
      </c>
      <c r="D4" t="s">
        <v>31</v>
      </c>
      <c r="E4" t="s">
        <v>25</v>
      </c>
    </row>
    <row r="5" spans="1:5" x14ac:dyDescent="0.3">
      <c r="A5" s="6" t="s">
        <v>38</v>
      </c>
      <c r="B5" s="7">
        <v>79</v>
      </c>
      <c r="C5" s="7">
        <v>12</v>
      </c>
      <c r="D5" s="7">
        <v>19</v>
      </c>
      <c r="E5" s="7">
        <v>110</v>
      </c>
    </row>
    <row r="6" spans="1:5" x14ac:dyDescent="0.3">
      <c r="A6" s="6" t="s">
        <v>39</v>
      </c>
      <c r="B6" s="7">
        <v>150</v>
      </c>
      <c r="C6" s="7">
        <v>25</v>
      </c>
      <c r="D6" s="7">
        <v>101</v>
      </c>
      <c r="E6" s="7">
        <v>276</v>
      </c>
    </row>
    <row r="7" spans="1:5" x14ac:dyDescent="0.3">
      <c r="A7" s="6" t="s">
        <v>40</v>
      </c>
      <c r="B7" s="7">
        <v>189</v>
      </c>
      <c r="C7" s="7">
        <v>24</v>
      </c>
      <c r="D7" s="7">
        <v>101</v>
      </c>
      <c r="E7" s="7">
        <v>314</v>
      </c>
    </row>
    <row r="8" spans="1:5" x14ac:dyDescent="0.3">
      <c r="A8" s="6" t="s">
        <v>25</v>
      </c>
      <c r="B8" s="7">
        <v>418</v>
      </c>
      <c r="C8" s="7">
        <v>61</v>
      </c>
      <c r="D8" s="7">
        <v>221</v>
      </c>
      <c r="E8" s="7">
        <v>700</v>
      </c>
    </row>
  </sheetData>
  <pageMargins left="0.7" right="0.7" top="0.75" bottom="0.75" header="0.3" footer="0.3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529E1-4A8A-4DF0-99D1-3CA0416D2986}">
  <dimension ref="A3:S7"/>
  <sheetViews>
    <sheetView workbookViewId="0">
      <selection activeCell="M17" sqref="M17"/>
    </sheetView>
  </sheetViews>
  <sheetFormatPr defaultRowHeight="14.4" x14ac:dyDescent="0.3"/>
  <cols>
    <col min="1" max="1" width="12.44140625" bestFit="1" customWidth="1"/>
    <col min="2" max="2" width="14.109375" bestFit="1" customWidth="1"/>
    <col min="10" max="10" width="12.44140625" bestFit="1" customWidth="1"/>
    <col min="11" max="11" width="14.109375" bestFit="1" customWidth="1"/>
    <col min="18" max="18" width="12.44140625" bestFit="1" customWidth="1"/>
    <col min="19" max="19" width="32" bestFit="1" customWidth="1"/>
  </cols>
  <sheetData>
    <row r="3" spans="1:19" x14ac:dyDescent="0.3">
      <c r="A3" s="5" t="s">
        <v>23</v>
      </c>
      <c r="B3" t="s">
        <v>26</v>
      </c>
      <c r="J3" s="5" t="s">
        <v>23</v>
      </c>
      <c r="K3" t="s">
        <v>26</v>
      </c>
      <c r="R3" s="5" t="s">
        <v>23</v>
      </c>
      <c r="S3" t="s">
        <v>32</v>
      </c>
    </row>
    <row r="4" spans="1:19" x14ac:dyDescent="0.3">
      <c r="A4" s="6" t="s">
        <v>28</v>
      </c>
      <c r="B4" s="8">
        <v>8.7142857142857147E-2</v>
      </c>
      <c r="J4" s="6" t="s">
        <v>29</v>
      </c>
      <c r="K4" s="7">
        <v>418</v>
      </c>
      <c r="R4" s="6" t="s">
        <v>29</v>
      </c>
      <c r="S4" s="9">
        <v>388.28708133971293</v>
      </c>
    </row>
    <row r="5" spans="1:19" x14ac:dyDescent="0.3">
      <c r="A5" s="6" t="s">
        <v>24</v>
      </c>
      <c r="B5" s="8">
        <v>0.91285714285714281</v>
      </c>
      <c r="J5" s="6" t="s">
        <v>30</v>
      </c>
      <c r="K5" s="7">
        <v>61</v>
      </c>
      <c r="R5" s="6" t="s">
        <v>30</v>
      </c>
      <c r="S5" s="9">
        <v>43.590163934426229</v>
      </c>
    </row>
    <row r="6" spans="1:19" x14ac:dyDescent="0.3">
      <c r="A6" s="6" t="s">
        <v>25</v>
      </c>
      <c r="B6" s="8">
        <v>1</v>
      </c>
      <c r="J6" s="6" t="s">
        <v>31</v>
      </c>
      <c r="K6" s="7">
        <v>221</v>
      </c>
      <c r="R6" s="6" t="s">
        <v>31</v>
      </c>
      <c r="S6" s="9">
        <v>112.3393665158371</v>
      </c>
    </row>
    <row r="7" spans="1:19" x14ac:dyDescent="0.3">
      <c r="J7" s="6" t="s">
        <v>25</v>
      </c>
      <c r="K7" s="7">
        <v>700</v>
      </c>
      <c r="R7" s="6" t="s">
        <v>25</v>
      </c>
      <c r="S7" s="9">
        <v>271.12857142857143</v>
      </c>
    </row>
  </sheetData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user_behavior_dataset</vt:lpstr>
      <vt:lpstr>Active_User</vt:lpstr>
      <vt:lpstr>Engagement distriubution</vt:lpstr>
      <vt:lpstr>Avg App Usage Time by Engagemen</vt:lpstr>
      <vt:lpstr>Avg Screen Time by Engagement</vt:lpstr>
      <vt:lpstr>Avg Data Usage by Engagement</vt:lpstr>
      <vt:lpstr>Avg Battery Drain </vt:lpstr>
      <vt:lpstr>High Data Users (Top 25%)</vt:lpstr>
      <vt:lpstr>High Battery Users (Top 25%)</vt:lpstr>
      <vt:lpstr>Engagement vs Time, Data &amp; Batt</vt:lpstr>
      <vt:lpstr>Engagement Level by Age Group</vt:lpstr>
      <vt:lpstr>Dashboards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nonso ezeoma</dc:creator>
  <cp:lastModifiedBy>nonso ezeoma</cp:lastModifiedBy>
  <dcterms:created xsi:type="dcterms:W3CDTF">2025-12-27T16:50:39Z</dcterms:created>
  <dcterms:modified xsi:type="dcterms:W3CDTF">2026-01-02T13:39:29Z</dcterms:modified>
</cp:coreProperties>
</file>